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ssumptions" sheetId="2" r:id="rId6"/>
    <sheet state="visible" name="Scenarios" sheetId="3" r:id="rId7"/>
    <sheet state="visible" name="Income Statement" sheetId="4" r:id="rId8"/>
    <sheet state="visible" name="Balance Sheet" sheetId="5" r:id="rId9"/>
    <sheet state="visible" name="Cash Flow" sheetId="6" r:id="rId10"/>
    <sheet state="visible" name="DCF" sheetId="7" r:id="rId11"/>
  </sheets>
  <definedNames/>
  <calcPr/>
</workbook>
</file>

<file path=xl/sharedStrings.xml><?xml version="1.0" encoding="utf-8"?>
<sst xmlns="http://schemas.openxmlformats.org/spreadsheetml/2006/main" count="277" uniqueCount="224">
  <si>
    <t>Chipotle Mexican Grill (NYSE: CMG)</t>
  </si>
  <si>
    <t>Three-Statement Financial Model &amp; DCF Valuation</t>
  </si>
  <si>
    <t>Built by Heer Patel</t>
  </si>
  <si>
    <t>heerpatel7016@gmail.com</t>
  </si>
  <si>
    <t>Model Overview</t>
  </si>
  <si>
    <t>Five years of historical financials (2021A - 2025A) sourced from 10-K filings on SEC EDGAR, with a five year forward forecast (2026E - 2030E) integrated across 
Income Statement, Balance Sheet, and Cash Flow Statement. 
DCF valuation includes terminal value, WACC build, and Bull / Base / Bear scenario analysis with dynamic toggle.</t>
  </si>
  <si>
    <t>Key Findings</t>
  </si>
  <si>
    <t>Base case implied share price: $19.43 vs. $32.89 current (40.9%)</t>
  </si>
  <si>
    <t>Bull case implied price: $29.80 (9.4%)</t>
  </si>
  <si>
    <t>Bear case implied price: $13.10 (60.2%)</t>
  </si>
  <si>
    <t>Conclusion: CMG is fully valued to overvalued at current levels across all three scenarios.</t>
  </si>
  <si>
    <t xml:space="preserve">Tab Guide </t>
  </si>
  <si>
    <t xml:space="preserve">Assumptions - Forecast drivers and scenario toggle </t>
  </si>
  <si>
    <t xml:space="preserve">Scenarios - Bull / Base / Bear comparison table </t>
  </si>
  <si>
    <t xml:space="preserve">Income Statement - Historical and forecast </t>
  </si>
  <si>
    <t xml:space="preserve">Balance Sheet - Historical and forecast BS </t>
  </si>
  <si>
    <t xml:space="preserve">Cash Flow - Historical and forecast </t>
  </si>
  <si>
    <t>DCF - Unlevered free cash flow, WACC, terminal value, implied price</t>
  </si>
  <si>
    <t>Methodology Notes</t>
  </si>
  <si>
    <t>Historical balance sheet balances to $0 across all 5 years. Forecast assumptions linked through a single Assumptions tab to enable scenario analysis. 
Operating lease assets modeled in lockstep with lease liabilities per ASC 842. Treasury stock retirement and 50-for-1 stock split (mid-2024) reconciled across all historical years.</t>
  </si>
  <si>
    <t>Data Sources</t>
  </si>
  <si>
    <t>Chipotle Mexican Grill 10-K filings (2021 - 2025), SEC EDGAR</t>
  </si>
  <si>
    <t>Chipotle Mexican Grill - Forecast Assumptions</t>
  </si>
  <si>
    <t>Drivers for fiscal years 2026E - 2030E</t>
  </si>
  <si>
    <t>Driver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</si>
  <si>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</si>
  <si>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</si>
  <si>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</si>
  <si>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</si>
  <si>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</si>
  <si>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</si>
  <si>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</si>
  <si>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</si>
  <si>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</si>
  <si>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</si>
  <si>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Scenarios:</t>
  </si>
  <si>
    <t>Base</t>
  </si>
  <si>
    <t>Revenue Drivers</t>
  </si>
  <si>
    <t>Total restaurants - beginning of year</t>
  </si>
  <si>
    <t>Gross new openings</t>
  </si>
  <si>
    <t>Closures and relocation</t>
  </si>
  <si>
    <t>Total restaurants - end of year</t>
  </si>
  <si>
    <t>Average restaurant count</t>
  </si>
  <si>
    <t>Average unit volume (AUV)</t>
  </si>
  <si>
    <t>AUV growth %</t>
  </si>
  <si>
    <t>Implied revenue</t>
  </si>
  <si>
    <t>Revenue growth %</t>
  </si>
  <si>
    <t>Cost Structure (% of Revenue)</t>
  </si>
  <si>
    <t>Food, beverage and packaging %</t>
  </si>
  <si>
    <t>Labor %</t>
  </si>
  <si>
    <t>Occupancy %</t>
  </si>
  <si>
    <t>Other operating cost %</t>
  </si>
  <si>
    <t>General and administrative %</t>
  </si>
  <si>
    <t>Depriciation and amortization %</t>
  </si>
  <si>
    <t>Pre-opening cost per new store ($k)</t>
  </si>
  <si>
    <t xml:space="preserve">Impairment/closure </t>
  </si>
  <si>
    <t>Working Capital (Days)</t>
  </si>
  <si>
    <t>Days sales outstanding (DSO)</t>
  </si>
  <si>
    <t>Days inventory outstanding (DIO)</t>
  </si>
  <si>
    <t>Days payable outstanding (DPO)</t>
  </si>
  <si>
    <t>Other current items as % of revenue</t>
  </si>
  <si>
    <t>Capital Expenditures</t>
  </si>
  <si>
    <t>CapEx per new restaurant ($K)</t>
  </si>
  <si>
    <t>Maintenance CapEx (% of revenue)</t>
  </si>
  <si>
    <t>total CapEx ($K)</t>
  </si>
  <si>
    <t>Tax</t>
  </si>
  <si>
    <t>Effective tax rate</t>
  </si>
  <si>
    <t>Other</t>
  </si>
  <si>
    <t>Share buybacks ($K)</t>
  </si>
  <si>
    <t>Stock based compensation ($K)</t>
  </si>
  <si>
    <t>Diluted shares outstanding (thousands)</t>
  </si>
  <si>
    <t>Scenario Reference Table</t>
  </si>
  <si>
    <t>Bear</t>
  </si>
  <si>
    <t>Bull</t>
  </si>
  <si>
    <t>Openings 2026E</t>
  </si>
  <si>
    <t>Openings 2027E</t>
  </si>
  <si>
    <t>Openings 2028E</t>
  </si>
  <si>
    <t>Openings 2029E</t>
  </si>
  <si>
    <t>Openings 2030E</t>
  </si>
  <si>
    <t>AUV Growth 2026E</t>
  </si>
  <si>
    <t>AUV Growth 2027E</t>
  </si>
  <si>
    <t>AUV Growth 2028E</t>
  </si>
  <si>
    <t>AUV Growth 2029E</t>
  </si>
  <si>
    <t>AUV Growth 2030E</t>
  </si>
  <si>
    <t>Food/bev %</t>
  </si>
  <si>
    <t>G&amp;A %</t>
  </si>
  <si>
    <t>Beta</t>
  </si>
  <si>
    <t>Terminal growth</t>
  </si>
  <si>
    <t>Chipotle DCF - Scenario Analysis</t>
  </si>
  <si>
    <t xml:space="preserve">Metric </t>
  </si>
  <si>
    <t>Average opeings/year</t>
  </si>
  <si>
    <t>AUV growth</t>
  </si>
  <si>
    <t>Food/Bev %</t>
  </si>
  <si>
    <t>Implied share prices</t>
  </si>
  <si>
    <t>Current price</t>
  </si>
  <si>
    <t>Upside/(downside)</t>
  </si>
  <si>
    <t>Sell side reference</t>
  </si>
  <si>
    <t>Bear (Guggenheim)</t>
  </si>
  <si>
    <t>Consensus avg</t>
  </si>
  <si>
    <t>Bull (citi)</t>
  </si>
  <si>
    <t xml:space="preserve">Conclusion </t>
  </si>
  <si>
    <t>All three scenarios imply CMG is fully valued to overvalued at current levels. Even the bull case (aggressive recovery) implies modest downside.</t>
  </si>
  <si>
    <t>Chipotle Mexican Grill - Income Statement</t>
  </si>
  <si>
    <t>($ in thousands)</t>
  </si>
  <si>
    <t>Fiscal Year</t>
  </si>
  <si>
    <t>Revenue</t>
  </si>
  <si>
    <t>Food, beverages and packaging</t>
  </si>
  <si>
    <t>Labor</t>
  </si>
  <si>
    <t>Occupancy</t>
  </si>
  <si>
    <t>Other operating cost</t>
  </si>
  <si>
    <t>General and administrative</t>
  </si>
  <si>
    <t>Depreciation and amortization</t>
  </si>
  <si>
    <t>Pre-opening cost</t>
  </si>
  <si>
    <t>Impairment, closure cost</t>
  </si>
  <si>
    <t>Total operating expense</t>
  </si>
  <si>
    <t>Operating income</t>
  </si>
  <si>
    <t>Interest and other income, net</t>
  </si>
  <si>
    <t>Income before taxes</t>
  </si>
  <si>
    <t>Provision for taxes</t>
  </si>
  <si>
    <t>Net Income</t>
  </si>
  <si>
    <t>Chipotle Mexican Grill - Balance Sheet</t>
  </si>
  <si>
    <t>Cash and equivalents</t>
  </si>
  <si>
    <t>Short-term investments</t>
  </si>
  <si>
    <t>Accounts receivable</t>
  </si>
  <si>
    <t>Inventory</t>
  </si>
  <si>
    <t>Income tax receivable</t>
  </si>
  <si>
    <t>Prepaid expenses and other current assets</t>
  </si>
  <si>
    <t>Total current assets</t>
  </si>
  <si>
    <t>Leasehold improvements, property and equipment, net</t>
  </si>
  <si>
    <t>Long-term investments</t>
  </si>
  <si>
    <t>restricted cash</t>
  </si>
  <si>
    <t>Operating lease assets</t>
  </si>
  <si>
    <t>Other long-term assets</t>
  </si>
  <si>
    <t>Goodwill</t>
  </si>
  <si>
    <t>Total assets</t>
  </si>
  <si>
    <t>Accounts payable</t>
  </si>
  <si>
    <t>Accrued payroll and benefits</t>
  </si>
  <si>
    <t>Accrued liabilities</t>
  </si>
  <si>
    <t>Unearned revenue</t>
  </si>
  <si>
    <t>Current operating lease liabilities</t>
  </si>
  <si>
    <t>Total current liabilities</t>
  </si>
  <si>
    <t>Long-term operating lease liabilities</t>
  </si>
  <si>
    <t>Deferred income tax liabilities</t>
  </si>
  <si>
    <t>Other long-term liabilities</t>
  </si>
  <si>
    <t>Total liabilities</t>
  </si>
  <si>
    <t>Common stock</t>
  </si>
  <si>
    <t>Additional paid-in capital</t>
  </si>
  <si>
    <t>Accumulated other comprehensive loss</t>
  </si>
  <si>
    <t>Treasury stock</t>
  </si>
  <si>
    <t>Retained earnings</t>
  </si>
  <si>
    <t>Total shareholders' equity</t>
  </si>
  <si>
    <t xml:space="preserve">Total liabilities + equity </t>
  </si>
  <si>
    <t>Balance check</t>
  </si>
  <si>
    <t>Chipotle Mexican Grill - Cash Flow Statement</t>
  </si>
  <si>
    <t>Net income</t>
  </si>
  <si>
    <t>Deferred income tax provision</t>
  </si>
  <si>
    <t>Impairment, closure costs, and asset disposals</t>
  </si>
  <si>
    <t>Provision for credit losses</t>
  </si>
  <si>
    <t>Stock-based compensation</t>
  </si>
  <si>
    <t>Change in accounts receivable</t>
  </si>
  <si>
    <t>Change in inventory</t>
  </si>
  <si>
    <t>Change in prepaid expenses and other current assets</t>
  </si>
  <si>
    <t>Change in operating lease assets</t>
  </si>
  <si>
    <t>Change in other assets</t>
  </si>
  <si>
    <t>Change in accounts payable</t>
  </si>
  <si>
    <t>Change in payroll and benefits</t>
  </si>
  <si>
    <t>Change in accrued liabilities</t>
  </si>
  <si>
    <t>Change in unearned revenue</t>
  </si>
  <si>
    <t>Change in income tax payable/receivable</t>
  </si>
  <si>
    <t>Change in operating lease liabilities</t>
  </si>
  <si>
    <t>Change in other long-term liabilities</t>
  </si>
  <si>
    <t>Net cash from operating activities</t>
  </si>
  <si>
    <t>Purchase of leasehold improvements, property and equipment</t>
  </si>
  <si>
    <t>Purchase of investments</t>
  </si>
  <si>
    <t>Sales/maturities of investments</t>
  </si>
  <si>
    <t>Proceeds from sale of equipment</t>
  </si>
  <si>
    <t>Net cash from investing activities</t>
  </si>
  <si>
    <t>Acquisition of treasury stock</t>
  </si>
  <si>
    <t>Tax withholding on stock-based compensation awards</t>
  </si>
  <si>
    <t>Other financing activities</t>
  </si>
  <si>
    <t>Net cash from financing activities</t>
  </si>
  <si>
    <t>Effect of exchange rate changes on cash, cash equivalents and restricted cash</t>
  </si>
  <si>
    <t>Net change in cash, cash equivalents, and restricted cash</t>
  </si>
  <si>
    <t>Cash, cash equivalents, and restricted cash at beginning of year</t>
  </si>
  <si>
    <t>Cash, cash equivalents, and restricted cash at end of year</t>
  </si>
  <si>
    <t>Supplemental disclosure of cash flow information</t>
  </si>
  <si>
    <t>Income taxes paid</t>
  </si>
  <si>
    <t>Purchase of leasehold improvements, property and equipment accrued in accounts payable</t>
  </si>
  <si>
    <t>Repurchase of common stock accrued in accounts payable</t>
  </si>
  <si>
    <t>Chipotle Mexican Grill - DCF Valuation</t>
  </si>
  <si>
    <t>($ in thousands except per-share values)</t>
  </si>
  <si>
    <t>Terminal</t>
  </si>
  <si>
    <t>Unlevered free cash flow build</t>
  </si>
  <si>
    <t>Operating income (EBIT)</t>
  </si>
  <si>
    <t>NOPAT (EBIT * (1 - tax rate))</t>
  </si>
  <si>
    <t>(+) Depreciation and amortization</t>
  </si>
  <si>
    <t>(-) CapEX</t>
  </si>
  <si>
    <t>(-) Change in net working capital</t>
  </si>
  <si>
    <t>Unlevered free cash flow</t>
  </si>
  <si>
    <t>WACC calculation</t>
  </si>
  <si>
    <t>Risk-free rate</t>
  </si>
  <si>
    <t>Equity risk premium</t>
  </si>
  <si>
    <t>Cost of equity</t>
  </si>
  <si>
    <t>After-tax cost of debt</t>
  </si>
  <si>
    <t>Target equity weight</t>
  </si>
  <si>
    <t>Target debt weight</t>
  </si>
  <si>
    <t>WACC</t>
  </si>
  <si>
    <t>Terminal Value</t>
  </si>
  <si>
    <t>Terminal growth rate (g)</t>
  </si>
  <si>
    <t>2030 UFCF</t>
  </si>
  <si>
    <t>Terminal value</t>
  </si>
  <si>
    <t>Discounting</t>
  </si>
  <si>
    <t xml:space="preserve">Discount period </t>
  </si>
  <si>
    <t>Discount factor</t>
  </si>
  <si>
    <t>PV of UFCF</t>
  </si>
  <si>
    <t>PV of terminal value</t>
  </si>
  <si>
    <t>Enterprise value</t>
  </si>
  <si>
    <t>(-) net debt</t>
  </si>
  <si>
    <t>Equity value</t>
  </si>
  <si>
    <t>Diluted share outstanding</t>
  </si>
  <si>
    <t xml:space="preserve">Implied share price </t>
  </si>
  <si>
    <t>Current share price</t>
  </si>
  <si>
    <t>Implied upside / (downside)</t>
  </si>
  <si>
    <t>Recommendation: Sell / Underperform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</si>
</sst>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0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0.0"/>
      <color rgb="FF000000"/>
      <name val="Arial"/>
    </font>
    <font>
      <sz val="9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0" fillId="0" fontId="5" numFmtId="10" xfId="0" applyFont="1" applyNumberFormat="1"/>
    <xf borderId="0" fillId="0" fontId="5" numFmtId="10" xfId="0" applyAlignment="1" applyFont="1" applyNumberFormat="1">
      <alignment readingOrder="0"/>
    </xf>
    <xf borderId="0" fillId="0" fontId="0" numFmtId="10" xfId="0" applyFont="1" applyNumberFormat="1"/>
    <xf borderId="0" fillId="0" fontId="6" numFmtId="10" xfId="0" applyFont="1" applyNumberFormat="1"/>
    <xf borderId="0" fillId="0" fontId="0" numFmtId="164" xfId="0" applyFont="1" applyNumberFormat="1"/>
    <xf borderId="0" fillId="0" fontId="5" numFmtId="164" xfId="0" applyAlignment="1" applyFont="1" applyNumberFormat="1">
      <alignment readingOrder="0"/>
    </xf>
    <xf borderId="0" fillId="0" fontId="6" numFmtId="164" xfId="0" applyFont="1" applyNumberFormat="1"/>
    <xf borderId="0" fillId="0" fontId="0" numFmtId="1" xfId="0" applyFont="1" applyNumberFormat="1"/>
    <xf borderId="0" fillId="0" fontId="5" numFmtId="165" xfId="0" applyAlignment="1" applyFont="1" applyNumberFormat="1">
      <alignment readingOrder="0"/>
    </xf>
    <xf borderId="0" fillId="0" fontId="0" numFmtId="165" xfId="0" applyFont="1" applyNumberFormat="1"/>
    <xf borderId="0" fillId="0" fontId="5" numFmtId="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4" numFmtId="164" xfId="0" applyFont="1" applyNumberFormat="1"/>
    <xf borderId="0" fillId="0" fontId="1" numFmtId="164" xfId="0" applyFont="1" applyNumberFormat="1"/>
    <xf borderId="0" fillId="0" fontId="0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2" numFmtId="164" xfId="0" applyFont="1" applyNumberFormat="1"/>
    <xf borderId="0" fillId="0" fontId="0" numFmtId="0" xfId="0" applyFont="1"/>
    <xf borderId="0" fillId="0" fontId="1" numFmtId="165" xfId="0" applyFont="1" applyNumberFormat="1"/>
    <xf borderId="0" fillId="0" fontId="2" numFmtId="164" xfId="0" applyAlignment="1" applyFont="1" applyNumberFormat="1">
      <alignment readingOrder="0"/>
    </xf>
    <xf borderId="0" fillId="0" fontId="9" numFmtId="0" xfId="0" applyFont="1"/>
    <xf borderId="0" fillId="0" fontId="0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17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13.25"/>
    <col customWidth="1" min="3" max="4" width="11.63"/>
    <col customWidth="1" min="5" max="6" width="12.5"/>
    <col customWidth="1" min="7" max="11" width="12.63"/>
    <col customWidth="1" min="12" max="12" width="0.5"/>
    <col customWidth="1" min="13" max="13" width="9.38"/>
  </cols>
  <sheetData>
    <row r="1">
      <c r="A1" s="8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"/>
      <c r="B3" s="11"/>
    </row>
    <row r="4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9"/>
      <c r="M4" s="8" t="s">
        <v>35</v>
      </c>
      <c r="N4" s="8" t="s">
        <v>36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6">
      <c r="A6" s="11" t="s">
        <v>37</v>
      </c>
      <c r="M6" s="11"/>
    </row>
    <row r="7">
      <c r="A7" s="11" t="s">
        <v>38</v>
      </c>
      <c r="B7" s="11">
        <v>2768.0</v>
      </c>
      <c r="C7" s="11">
        <v>2966.0</v>
      </c>
      <c r="D7" s="11">
        <v>3187.0</v>
      </c>
      <c r="E7" s="11">
        <v>3437.0</v>
      </c>
      <c r="F7" s="11">
        <v>3726.0</v>
      </c>
      <c r="G7" s="12">
        <f t="shared" ref="G7:K7" si="1">F10</f>
        <v>4042</v>
      </c>
      <c r="H7" s="12">
        <f t="shared" si="1"/>
        <v>4342</v>
      </c>
      <c r="I7" s="12">
        <f t="shared" si="1"/>
        <v>4657</v>
      </c>
      <c r="J7" s="12">
        <f t="shared" si="1"/>
        <v>4987</v>
      </c>
      <c r="K7" s="12">
        <f t="shared" si="1"/>
        <v>5332</v>
      </c>
    </row>
    <row r="8">
      <c r="A8" s="11" t="s">
        <v>39</v>
      </c>
      <c r="B8" s="11">
        <v>215.0</v>
      </c>
      <c r="C8" s="11">
        <v>235.0</v>
      </c>
      <c r="D8" s="11">
        <v>270.0</v>
      </c>
      <c r="E8" s="11">
        <v>304.0</v>
      </c>
      <c r="F8" s="11">
        <v>334.0</v>
      </c>
      <c r="G8" s="11">
        <f>IF($N$4="Bear",C51,IF($N$4="Base",D51,E51))</f>
        <v>320</v>
      </c>
      <c r="H8" s="11">
        <f>IF($N$4="Bear",C52,IF($N$4="Base",D52,E52))</f>
        <v>335</v>
      </c>
      <c r="I8" s="11">
        <f>IF($N$4="Bear",C53,IF($N$4="Base",D53,E53))</f>
        <v>350</v>
      </c>
      <c r="J8" s="11">
        <f>IF($N$4="Bear",C54,IF($N$4="Base",D54,E54))</f>
        <v>365</v>
      </c>
      <c r="K8" s="11">
        <f>IF($N$4="Bear",C55,IF($N$4="Base",D55,E55))</f>
        <v>380</v>
      </c>
    </row>
    <row r="9">
      <c r="A9" s="11" t="s">
        <v>40</v>
      </c>
      <c r="B9" s="11">
        <v>-17.0</v>
      </c>
      <c r="C9" s="11">
        <v>-15.0</v>
      </c>
      <c r="D9" s="11">
        <v>-15.0</v>
      </c>
      <c r="E9" s="11">
        <v>-15.0</v>
      </c>
      <c r="F9" s="11">
        <v>-18.0</v>
      </c>
      <c r="G9" s="11">
        <v>-20.0</v>
      </c>
      <c r="H9" s="11">
        <v>-20.0</v>
      </c>
      <c r="I9" s="11">
        <v>-20.0</v>
      </c>
      <c r="J9" s="11">
        <v>-20.0</v>
      </c>
      <c r="K9" s="11">
        <v>-20.0</v>
      </c>
    </row>
    <row r="10">
      <c r="A10" s="11" t="s">
        <v>41</v>
      </c>
      <c r="B10" s="12">
        <f t="shared" ref="B10:K10" si="2">sum(B7:B9)</f>
        <v>2966</v>
      </c>
      <c r="C10" s="12">
        <f t="shared" si="2"/>
        <v>3186</v>
      </c>
      <c r="D10" s="12">
        <f t="shared" si="2"/>
        <v>3442</v>
      </c>
      <c r="E10" s="12">
        <f t="shared" si="2"/>
        <v>3726</v>
      </c>
      <c r="F10" s="12">
        <f t="shared" si="2"/>
        <v>4042</v>
      </c>
      <c r="G10" s="12">
        <f t="shared" si="2"/>
        <v>4342</v>
      </c>
      <c r="H10" s="12">
        <f t="shared" si="2"/>
        <v>4657</v>
      </c>
      <c r="I10" s="12">
        <f t="shared" si="2"/>
        <v>4987</v>
      </c>
      <c r="J10" s="12">
        <f t="shared" si="2"/>
        <v>5332</v>
      </c>
      <c r="K10" s="12">
        <f t="shared" si="2"/>
        <v>5692</v>
      </c>
    </row>
    <row r="11">
      <c r="A11" s="11" t="s">
        <v>42</v>
      </c>
      <c r="B11" s="12">
        <f t="shared" ref="B11:K11" si="3">(B7+B10)/2</f>
        <v>2867</v>
      </c>
      <c r="C11" s="12">
        <f t="shared" si="3"/>
        <v>3076</v>
      </c>
      <c r="D11" s="12">
        <f t="shared" si="3"/>
        <v>3314.5</v>
      </c>
      <c r="E11" s="12">
        <f t="shared" si="3"/>
        <v>3581.5</v>
      </c>
      <c r="F11" s="12">
        <f t="shared" si="3"/>
        <v>3884</v>
      </c>
      <c r="G11" s="12">
        <f t="shared" si="3"/>
        <v>4192</v>
      </c>
      <c r="H11" s="12">
        <f t="shared" si="3"/>
        <v>4499.5</v>
      </c>
      <c r="I11" s="12">
        <f t="shared" si="3"/>
        <v>4822</v>
      </c>
      <c r="J11" s="12">
        <f t="shared" si="3"/>
        <v>5159.5</v>
      </c>
      <c r="K11" s="12">
        <f t="shared" si="3"/>
        <v>5512</v>
      </c>
    </row>
    <row r="12">
      <c r="A12" s="11" t="s">
        <v>43</v>
      </c>
      <c r="B12" s="13">
        <f>'Income Statement'!B6/B11</f>
        <v>2632.389606</v>
      </c>
      <c r="C12" s="13">
        <f>'Income Statement'!C6/C11</f>
        <v>2807.104031</v>
      </c>
      <c r="D12" s="13">
        <f>'Income Statement'!D6/D11</f>
        <v>2978.322221</v>
      </c>
      <c r="E12" s="13">
        <f>'Income Statement'!E6/E11</f>
        <v>3158.970543</v>
      </c>
      <c r="F12" s="13">
        <f>'Income Statement'!F6/F11</f>
        <v>3070.4431</v>
      </c>
      <c r="G12" s="13">
        <f t="shared" ref="G12:K12" si="4">F12*(1+G13)</f>
        <v>3131.851962</v>
      </c>
      <c r="H12" s="13">
        <f t="shared" si="4"/>
        <v>3210.148261</v>
      </c>
      <c r="I12" s="13">
        <f t="shared" si="4"/>
        <v>3290.401967</v>
      </c>
      <c r="J12" s="13">
        <f t="shared" si="4"/>
        <v>3372.662017</v>
      </c>
      <c r="K12" s="13">
        <f t="shared" si="4"/>
        <v>3440.115257</v>
      </c>
    </row>
    <row r="13">
      <c r="A13" s="11" t="s">
        <v>44</v>
      </c>
      <c r="C13" s="14">
        <f t="shared" ref="C13:F13" si="5">C12/B12-1</f>
        <v>0.06637103602</v>
      </c>
      <c r="D13" s="14">
        <f t="shared" si="5"/>
        <v>0.06099460064</v>
      </c>
      <c r="E13" s="14">
        <f t="shared" si="5"/>
        <v>0.06065439168</v>
      </c>
      <c r="F13" s="14">
        <f t="shared" si="5"/>
        <v>-0.0280241433</v>
      </c>
      <c r="G13" s="15">
        <f>IF($N$4="Bear",C56,IF($N$4="Base",D56,E56))</f>
        <v>0.02</v>
      </c>
      <c r="H13" s="15">
        <f>IF($N$4="Bear",C57,IF($N$4="Base",D57,E57))</f>
        <v>0.025</v>
      </c>
      <c r="I13" s="15">
        <f>IF($N$4="Bear",C58,IF($N$4="Base",D58,E58))</f>
        <v>0.025</v>
      </c>
      <c r="J13" s="15">
        <f>IF($N$4="Bear",C59,IF($N$4="Base",D59,E59))</f>
        <v>0.025</v>
      </c>
      <c r="K13" s="15">
        <f>IF($N$4="Bear",C60,IF($N$4="Base",D60,E60))</f>
        <v>0.02</v>
      </c>
    </row>
    <row r="14">
      <c r="A14" s="11" t="s">
        <v>45</v>
      </c>
      <c r="B14" s="13">
        <f t="shared" ref="B14:K14" si="6">B11*B12</f>
        <v>7547061</v>
      </c>
      <c r="C14" s="13">
        <f t="shared" si="6"/>
        <v>8634652</v>
      </c>
      <c r="D14" s="13">
        <f t="shared" si="6"/>
        <v>9871649</v>
      </c>
      <c r="E14" s="13">
        <f t="shared" si="6"/>
        <v>11313853</v>
      </c>
      <c r="F14" s="13">
        <f t="shared" si="6"/>
        <v>11925601</v>
      </c>
      <c r="G14" s="13">
        <f t="shared" si="6"/>
        <v>13128723.42</v>
      </c>
      <c r="H14" s="13">
        <f t="shared" si="6"/>
        <v>14444062.1</v>
      </c>
      <c r="I14" s="13">
        <f t="shared" si="6"/>
        <v>15866318.29</v>
      </c>
      <c r="J14" s="13">
        <f t="shared" si="6"/>
        <v>17401249.67</v>
      </c>
      <c r="K14" s="13">
        <f t="shared" si="6"/>
        <v>18961915.3</v>
      </c>
    </row>
    <row r="15">
      <c r="A15" s="11" t="s">
        <v>46</v>
      </c>
      <c r="C15" s="14">
        <f t="shared" ref="C15:K15" si="7">C14/B14-1</f>
        <v>0.1441078852</v>
      </c>
      <c r="D15" s="14">
        <f t="shared" si="7"/>
        <v>0.1432596241</v>
      </c>
      <c r="E15" s="14">
        <f t="shared" si="7"/>
        <v>0.146095551</v>
      </c>
      <c r="F15" s="14">
        <f t="shared" si="7"/>
        <v>0.05407070429</v>
      </c>
      <c r="G15" s="14">
        <f t="shared" si="7"/>
        <v>0.1008856849</v>
      </c>
      <c r="H15" s="14">
        <f t="shared" si="7"/>
        <v>0.1001878578</v>
      </c>
      <c r="I15" s="14">
        <f t="shared" si="7"/>
        <v>0.09846649628</v>
      </c>
      <c r="J15" s="14">
        <f t="shared" si="7"/>
        <v>0.0967414973</v>
      </c>
      <c r="K15" s="14">
        <f t="shared" si="7"/>
        <v>0.08968698517</v>
      </c>
    </row>
    <row r="17">
      <c r="A17" s="8" t="s">
        <v>47</v>
      </c>
    </row>
    <row r="18">
      <c r="A18" s="11" t="s">
        <v>48</v>
      </c>
      <c r="B18" s="16">
        <f>'Income Statement'!B7/'Income Statement'!B6</f>
        <v>0.3058980178</v>
      </c>
      <c r="C18" s="16">
        <f>'Income Statement'!C7/'Income Statement'!C6</f>
        <v>0.3013723078</v>
      </c>
      <c r="D18" s="16">
        <f>'Income Statement'!D7/'Income Statement'!D6</f>
        <v>0.2950433104</v>
      </c>
      <c r="E18" s="16">
        <f>'Income Statement'!E7/'Income Statement'!E6</f>
        <v>0.2982640839</v>
      </c>
      <c r="F18" s="16">
        <f>'Income Statement'!F7/'Income Statement'!F6</f>
        <v>0.295749623</v>
      </c>
      <c r="G18" s="15">
        <f t="shared" ref="G18:K18" si="8">IF($N$4="Bear",$C$61,IF($N$4="Base",$D$61,$E$61))</f>
        <v>0.295</v>
      </c>
      <c r="H18" s="15">
        <f t="shared" si="8"/>
        <v>0.295</v>
      </c>
      <c r="I18" s="15">
        <f t="shared" si="8"/>
        <v>0.295</v>
      </c>
      <c r="J18" s="15">
        <f t="shared" si="8"/>
        <v>0.295</v>
      </c>
      <c r="K18" s="15">
        <f t="shared" si="8"/>
        <v>0.295</v>
      </c>
    </row>
    <row r="19">
      <c r="A19" s="11" t="s">
        <v>49</v>
      </c>
      <c r="B19" s="14">
        <f>'Income Statement'!B8/'Income Statement'!B6</f>
        <v>0.2541069961</v>
      </c>
      <c r="C19" s="14">
        <f>'Income Statement'!C8/'Income Statement'!C6</f>
        <v>0.2545508493</v>
      </c>
      <c r="D19" s="14">
        <f>'Income Statement'!D8/'Income Statement'!D6</f>
        <v>0.2472719603</v>
      </c>
      <c r="E19" s="14">
        <f>'Income Statement'!E8/'Income Statement'!E6</f>
        <v>0.2465816906</v>
      </c>
      <c r="F19" s="14">
        <f>'Income Statement'!F8/'Income Statement'!F6</f>
        <v>0.2508619901</v>
      </c>
      <c r="G19" s="15">
        <f t="shared" ref="G19:K19" si="9">IF($N$4="Bear",$C$62,IF($N$4="Base",$D$62,$E$62))</f>
        <v>0.25</v>
      </c>
      <c r="H19" s="15">
        <f t="shared" si="9"/>
        <v>0.25</v>
      </c>
      <c r="I19" s="15">
        <f t="shared" si="9"/>
        <v>0.25</v>
      </c>
      <c r="J19" s="15">
        <f t="shared" si="9"/>
        <v>0.25</v>
      </c>
      <c r="K19" s="15">
        <f t="shared" si="9"/>
        <v>0.25</v>
      </c>
    </row>
    <row r="20">
      <c r="A20" s="11" t="s">
        <v>50</v>
      </c>
      <c r="B20" s="17">
        <f>'Income Statement'!B9/'Income Statement'!B6</f>
        <v>0.05520109086</v>
      </c>
      <c r="C20" s="17">
        <f>'Income Statement'!C9/'Income Statement'!C6</f>
        <v>0.05332293647</v>
      </c>
      <c r="D20" s="17">
        <f>'Income Statement'!D9/'Income Statement'!D6</f>
        <v>0.05098074293</v>
      </c>
      <c r="E20" s="17">
        <f>'Income Statement'!E9/'Income Statement'!E6</f>
        <v>0.04979506098</v>
      </c>
      <c r="F20" s="17">
        <f>'Income Statement'!F9/'Income Statement'!F6</f>
        <v>0.05239970715</v>
      </c>
      <c r="G20" s="15">
        <v>0.051</v>
      </c>
      <c r="H20" s="15">
        <v>0.051</v>
      </c>
      <c r="I20" s="15">
        <v>0.051</v>
      </c>
      <c r="J20" s="15">
        <v>0.05</v>
      </c>
      <c r="K20" s="15">
        <v>0.05</v>
      </c>
    </row>
    <row r="21">
      <c r="A21" s="11" t="s">
        <v>51</v>
      </c>
      <c r="B21" s="17">
        <f>'Income Statement'!B10/'Income Statement'!B6</f>
        <v>0.1586119418</v>
      </c>
      <c r="C21" s="17">
        <f>'Income Statement'!C10/'Income Statement'!C6</f>
        <v>0.1519349014</v>
      </c>
      <c r="D21" s="17">
        <f>'Income Statement'!D10/'Income Statement'!D6</f>
        <v>0.1447323542</v>
      </c>
      <c r="E21" s="17">
        <f>'Income Statement'!E10/'Income Statement'!E6</f>
        <v>0.1386337616</v>
      </c>
      <c r="F21" s="17">
        <f>'Income Statement'!F10/'Income Statement'!F6</f>
        <v>0.1472314896</v>
      </c>
      <c r="G21" s="15">
        <v>0.145</v>
      </c>
      <c r="H21" s="15">
        <v>0.145</v>
      </c>
      <c r="I21" s="15">
        <v>0.145</v>
      </c>
      <c r="J21" s="15">
        <v>0.145</v>
      </c>
      <c r="K21" s="15">
        <v>0.145</v>
      </c>
    </row>
    <row r="22">
      <c r="A22" s="11" t="s">
        <v>52</v>
      </c>
      <c r="B22" s="17">
        <f>'Income Statement'!B11/'Income Statement'!B6</f>
        <v>0.0804093143</v>
      </c>
      <c r="C22" s="17">
        <f>'Income Statement'!C11/'Income Statement'!C6</f>
        <v>0.06534032871</v>
      </c>
      <c r="D22" s="17">
        <f>'Income Statement'!D11/'Income Statement'!D6</f>
        <v>0.06418218476</v>
      </c>
      <c r="E22" s="17">
        <f>'Income Statement'!E11/'Income Statement'!E6</f>
        <v>0.06164858249</v>
      </c>
      <c r="F22" s="17">
        <f>'Income Statement'!F11/'Income Statement'!F6</f>
        <v>0.05467372252</v>
      </c>
      <c r="G22" s="15">
        <f t="shared" ref="G22:K22" si="10">IF($N$4="Bear",$C$63,IF($N$4="Base",$D$63,$E$63))</f>
        <v>0.055</v>
      </c>
      <c r="H22" s="15">
        <f t="shared" si="10"/>
        <v>0.055</v>
      </c>
      <c r="I22" s="15">
        <f t="shared" si="10"/>
        <v>0.055</v>
      </c>
      <c r="J22" s="15">
        <f t="shared" si="10"/>
        <v>0.055</v>
      </c>
      <c r="K22" s="15">
        <f t="shared" si="10"/>
        <v>0.055</v>
      </c>
    </row>
    <row r="23">
      <c r="A23" s="11" t="s">
        <v>53</v>
      </c>
      <c r="B23" s="17">
        <f>'Income Statement'!B12/'Income Statement'!B6</f>
        <v>0.03374253898</v>
      </c>
      <c r="C23" s="17">
        <f>'Income Statement'!C12/'Income Statement'!C6</f>
        <v>0.03321801504</v>
      </c>
      <c r="D23" s="17">
        <f>'Income Statement'!D12/'Income Statement'!D6</f>
        <v>0.0323546755</v>
      </c>
      <c r="E23" s="17">
        <f>'Income Statement'!E12/'Income Statement'!E6</f>
        <v>0.0296123699</v>
      </c>
      <c r="F23" s="17">
        <f>'Income Statement'!F12/'Income Statement'!F6</f>
        <v>0.03030304301</v>
      </c>
      <c r="G23" s="15">
        <v>0.03</v>
      </c>
      <c r="H23" s="15">
        <v>0.03</v>
      </c>
      <c r="I23" s="15">
        <v>0.03</v>
      </c>
      <c r="J23" s="15">
        <v>0.03</v>
      </c>
      <c r="K23" s="15">
        <v>0.03</v>
      </c>
    </row>
    <row r="24">
      <c r="A24" s="11" t="s">
        <v>54</v>
      </c>
      <c r="B24" s="18">
        <f>'Income Statement'!B13/B8</f>
        <v>98.90232558</v>
      </c>
      <c r="C24" s="18">
        <f>'Income Statement'!C13/C8</f>
        <v>125.787234</v>
      </c>
      <c r="D24" s="18">
        <f>'Income Statement'!D13/D8</f>
        <v>136.7814815</v>
      </c>
      <c r="E24" s="18">
        <f>'Income Statement'!E13/E8</f>
        <v>137.8190789</v>
      </c>
      <c r="F24" s="18">
        <f>'Income Statement'!F13/F8</f>
        <v>148.2245509</v>
      </c>
      <c r="G24" s="19">
        <v>160.0</v>
      </c>
      <c r="H24" s="19">
        <v>160.0</v>
      </c>
      <c r="I24" s="19">
        <v>160.0</v>
      </c>
      <c r="J24" s="19">
        <v>160.0</v>
      </c>
      <c r="K24" s="19">
        <v>160.0</v>
      </c>
    </row>
    <row r="25">
      <c r="A25" s="11" t="s">
        <v>55</v>
      </c>
      <c r="B25" s="20">
        <f>'Income Statement'!B14</f>
        <v>19291</v>
      </c>
      <c r="C25" s="20">
        <f>'Income Statement'!C14</f>
        <v>21139</v>
      </c>
      <c r="D25" s="20">
        <f>'Income Statement'!D14</f>
        <v>38370</v>
      </c>
      <c r="E25" s="20">
        <f>'Income Statement'!E14</f>
        <v>26949</v>
      </c>
      <c r="F25" s="20">
        <f>'Income Statement'!F14</f>
        <v>27503</v>
      </c>
      <c r="G25" s="19">
        <v>30000.0</v>
      </c>
      <c r="H25" s="19">
        <v>30000.0</v>
      </c>
      <c r="I25" s="19">
        <v>30000.0</v>
      </c>
      <c r="J25" s="19">
        <v>30000.0</v>
      </c>
      <c r="K25" s="19">
        <v>30000.0</v>
      </c>
    </row>
    <row r="27">
      <c r="A27" s="8" t="s">
        <v>56</v>
      </c>
    </row>
    <row r="28">
      <c r="A28" s="11" t="s">
        <v>57</v>
      </c>
      <c r="B28" s="21">
        <f>'Balance Sheet'!B8/'Income Statement'!B6*365</f>
        <v>4.816926086</v>
      </c>
      <c r="C28" s="21">
        <f>'Balance Sheet'!C8/'Income Statement'!C6*365</f>
        <v>4.517981732</v>
      </c>
      <c r="D28" s="21">
        <f>'Balance Sheet'!D8/'Income Statement'!D6*365</f>
        <v>4.271857215</v>
      </c>
      <c r="E28" s="21">
        <f>'Balance Sheet'!E8/'Income Statement'!E6*365</f>
        <v>4.644438548</v>
      </c>
      <c r="F28" s="21">
        <f>'Balance Sheet'!F8/'Income Statement'!F6*365</f>
        <v>4.788864729</v>
      </c>
      <c r="G28" s="11">
        <v>5.0</v>
      </c>
      <c r="H28" s="11">
        <v>5.0</v>
      </c>
      <c r="I28" s="11">
        <v>5.0</v>
      </c>
      <c r="J28" s="11">
        <v>5.0</v>
      </c>
      <c r="K28" s="11">
        <v>5.0</v>
      </c>
    </row>
    <row r="29">
      <c r="A29" s="11" t="s">
        <v>58</v>
      </c>
      <c r="B29" s="21">
        <f>'Balance Sheet'!B9/'Income Statement'!B7*365</f>
        <v>5.189867935</v>
      </c>
      <c r="C29" s="21">
        <f>'Balance Sheet'!C9/'Income Statement'!C7*365</f>
        <v>5.002918634</v>
      </c>
      <c r="D29" s="21">
        <f>'Balance Sheet'!D9/'Income Statement'!D7*365</f>
        <v>4.926169863</v>
      </c>
      <c r="E29" s="21">
        <f>'Balance Sheet'!E9/'Income Statement'!E7*365</f>
        <v>5.293745829</v>
      </c>
      <c r="F29" s="21">
        <f>'Balance Sheet'!F9/'Income Statement'!F7*365</f>
        <v>5.123464981</v>
      </c>
      <c r="G29" s="11">
        <v>5.0</v>
      </c>
      <c r="H29" s="11">
        <v>5.0</v>
      </c>
      <c r="I29" s="11">
        <v>5.0</v>
      </c>
      <c r="J29" s="11">
        <v>5.0</v>
      </c>
      <c r="K29" s="11">
        <v>5.0</v>
      </c>
    </row>
    <row r="30">
      <c r="A30" s="11" t="s">
        <v>59</v>
      </c>
      <c r="B30" s="21">
        <f>'Balance Sheet'!B21/'Income Statement'!B7*365</f>
        <v>25.79613849</v>
      </c>
      <c r="C30" s="21">
        <f>'Balance Sheet'!C21/'Income Statement'!C7*365</f>
        <v>25.88787374</v>
      </c>
      <c r="D30" s="21">
        <f>'Balance Sheet'!D21/'Income Statement'!D7*365</f>
        <v>24.76882568</v>
      </c>
      <c r="E30" s="21">
        <f>'Balance Sheet'!E21/'Income Statement'!E7*365</f>
        <v>22.78954226</v>
      </c>
      <c r="F30" s="21">
        <f>'Balance Sheet'!F21/'Income Statement'!F7*365</f>
        <v>22.0235104</v>
      </c>
      <c r="G30" s="11">
        <v>23.0</v>
      </c>
      <c r="H30" s="11">
        <v>23.0</v>
      </c>
      <c r="I30" s="11">
        <v>23.0</v>
      </c>
      <c r="J30" s="11">
        <v>23.0</v>
      </c>
      <c r="K30" s="11">
        <v>23.0</v>
      </c>
    </row>
    <row r="31">
      <c r="A31" s="11" t="s">
        <v>60</v>
      </c>
      <c r="B31" s="16">
        <f>('Balance Sheet'!B10+'Balance Sheet'!B11)/'Income Statement'!B6</f>
        <v>0.02289898015</v>
      </c>
      <c r="C31" s="16">
        <f>('Balance Sheet'!C10+'Balance Sheet'!C11)/'Income Statement'!C6</f>
        <v>0.01553658445</v>
      </c>
      <c r="D31" s="16">
        <f>('Balance Sheet'!D10+'Balance Sheet'!D11)/'Income Statement'!D6</f>
        <v>0.01726378237</v>
      </c>
      <c r="E31" s="16">
        <f>('Balance Sheet'!E10+'Balance Sheet'!E11)/'Income Statement'!E6</f>
        <v>0.01456329687</v>
      </c>
      <c r="F31" s="16">
        <f>('Balance Sheet'!F10+'Balance Sheet'!F11)/'Income Statement'!F6</f>
        <v>0.0177637169</v>
      </c>
      <c r="G31" s="15">
        <v>0.02</v>
      </c>
      <c r="H31" s="15">
        <v>0.02</v>
      </c>
      <c r="I31" s="15">
        <v>0.02</v>
      </c>
      <c r="J31" s="15">
        <v>0.02</v>
      </c>
      <c r="K31" s="15">
        <v>0.02</v>
      </c>
    </row>
    <row r="33">
      <c r="A33" s="8" t="s">
        <v>61</v>
      </c>
    </row>
    <row r="34">
      <c r="A34" s="11" t="s">
        <v>62</v>
      </c>
      <c r="B34" s="18">
        <f>-'Cash Flow'!B28/B8</f>
        <v>2058.023256</v>
      </c>
      <c r="C34" s="18">
        <f>-'Cash Flow'!C28/C8</f>
        <v>2038.995745</v>
      </c>
      <c r="D34" s="18">
        <f>-'Cash Flow'!D28/D8</f>
        <v>2076.781481</v>
      </c>
      <c r="E34" s="18">
        <f>-'Cash Flow'!E28/E8</f>
        <v>1952.641447</v>
      </c>
      <c r="F34" s="18">
        <f>-'Cash Flow'!F28/F8</f>
        <v>1995.017964</v>
      </c>
      <c r="G34" s="22">
        <v>1950.0</v>
      </c>
      <c r="H34" s="22">
        <v>1950.0</v>
      </c>
      <c r="I34" s="22">
        <v>1950.0</v>
      </c>
      <c r="J34" s="22">
        <v>1950.0</v>
      </c>
      <c r="K34" s="22">
        <v>1950.0</v>
      </c>
    </row>
    <row r="35">
      <c r="A35" s="11" t="s">
        <v>63</v>
      </c>
      <c r="B35" s="2"/>
      <c r="C35" s="2"/>
      <c r="D35" s="2"/>
      <c r="E35" s="2"/>
      <c r="F35" s="2"/>
      <c r="G35" s="15">
        <v>0.02</v>
      </c>
      <c r="H35" s="15">
        <v>0.02</v>
      </c>
      <c r="I35" s="15">
        <v>0.02</v>
      </c>
      <c r="J35" s="15">
        <v>0.02</v>
      </c>
      <c r="K35" s="15">
        <v>0.02</v>
      </c>
    </row>
    <row r="36">
      <c r="A36" s="11" t="s">
        <v>64</v>
      </c>
      <c r="B36" s="18">
        <f>-'Cash Flow'!B28</f>
        <v>442475</v>
      </c>
      <c r="C36" s="18">
        <f>-'Cash Flow'!C28</f>
        <v>479164</v>
      </c>
      <c r="D36" s="18">
        <f>-'Cash Flow'!D28</f>
        <v>560731</v>
      </c>
      <c r="E36" s="18">
        <f>-'Cash Flow'!E28</f>
        <v>593603</v>
      </c>
      <c r="F36" s="18">
        <f>-'Cash Flow'!F28</f>
        <v>666336</v>
      </c>
      <c r="G36" s="23">
        <f t="shared" ref="G36:K36" si="11">G34*G8+G35*G14</f>
        <v>886574.4685</v>
      </c>
      <c r="H36" s="23">
        <f t="shared" si="11"/>
        <v>942131.242</v>
      </c>
      <c r="I36" s="23">
        <f t="shared" si="11"/>
        <v>999826.3657</v>
      </c>
      <c r="J36" s="23">
        <f t="shared" si="11"/>
        <v>1059774.993</v>
      </c>
      <c r="K36" s="23">
        <f t="shared" si="11"/>
        <v>1120238.306</v>
      </c>
    </row>
    <row r="38">
      <c r="A38" s="8" t="s">
        <v>65</v>
      </c>
    </row>
    <row r="39">
      <c r="A39" s="11" t="s">
        <v>66</v>
      </c>
      <c r="B39" s="16">
        <f>'Income Statement'!B19/'Income Statement'!B18</f>
        <v>0.1965874431</v>
      </c>
      <c r="C39" s="16">
        <f>'Income Statement'!C19/'Income Statement'!C18</f>
        <v>0.2390373168</v>
      </c>
      <c r="D39" s="16">
        <f>'Income Statement'!D19/'Income Statement'!D18</f>
        <v>0.2417572042</v>
      </c>
      <c r="E39" s="16">
        <f>'Income Statement'!E19/'Income Statement'!E18</f>
        <v>0.2368485198</v>
      </c>
      <c r="F39" s="16">
        <f>'Income Statement'!F19/'Income Statement'!F18</f>
        <v>0.235756915</v>
      </c>
      <c r="G39" s="15">
        <v>0.235</v>
      </c>
      <c r="H39" s="15">
        <v>0.235</v>
      </c>
      <c r="I39" s="15">
        <v>0.235</v>
      </c>
      <c r="J39" s="15">
        <v>0.235</v>
      </c>
      <c r="K39" s="15">
        <v>0.235</v>
      </c>
    </row>
    <row r="41">
      <c r="A41" s="8" t="s">
        <v>67</v>
      </c>
    </row>
    <row r="42">
      <c r="A42" s="11" t="s">
        <v>68</v>
      </c>
      <c r="B42" s="18">
        <f>-'Cash Flow'!B34</f>
        <v>466462</v>
      </c>
      <c r="C42" s="18">
        <f>-'Cash Flow'!C34</f>
        <v>830140</v>
      </c>
      <c r="D42" s="18">
        <f>-'Cash Flow'!D34</f>
        <v>592349</v>
      </c>
      <c r="E42" s="18">
        <f>-'Cash Flow'!E34</f>
        <v>1001559</v>
      </c>
      <c r="F42" s="18">
        <f>-'Cash Flow'!F34</f>
        <v>2425516</v>
      </c>
      <c r="G42" s="19">
        <v>1500000.0</v>
      </c>
      <c r="H42" s="19">
        <v>1700000.0</v>
      </c>
      <c r="I42" s="19">
        <v>1900000.0</v>
      </c>
      <c r="J42" s="19">
        <v>1900000.0</v>
      </c>
      <c r="K42" s="19">
        <v>1900000.0</v>
      </c>
    </row>
    <row r="43">
      <c r="A43" s="11" t="s">
        <v>69</v>
      </c>
      <c r="B43" s="18">
        <f>'Cash Flow'!B11</f>
        <v>176392</v>
      </c>
      <c r="C43" s="18">
        <f>'Cash Flow'!C11</f>
        <v>98030</v>
      </c>
      <c r="D43" s="18">
        <f>'Cash Flow'!D11</f>
        <v>124016</v>
      </c>
      <c r="E43" s="18">
        <f>'Cash Flow'!E11</f>
        <v>131730</v>
      </c>
      <c r="F43" s="18">
        <f>'Cash Flow'!F11</f>
        <v>119543</v>
      </c>
      <c r="G43" s="19">
        <v>150000.0</v>
      </c>
      <c r="H43" s="19">
        <v>150000.0</v>
      </c>
      <c r="I43" s="19">
        <v>150000.0</v>
      </c>
      <c r="J43" s="19">
        <v>150000.0</v>
      </c>
      <c r="K43" s="19">
        <v>150000.0</v>
      </c>
    </row>
    <row r="44">
      <c r="A44" s="11" t="s">
        <v>70</v>
      </c>
      <c r="B44" s="19">
        <v>1425550.0</v>
      </c>
      <c r="C44" s="19">
        <v>1403100.0</v>
      </c>
      <c r="D44" s="19">
        <v>1385500.0</v>
      </c>
      <c r="E44" s="19">
        <v>1376555.0</v>
      </c>
      <c r="F44" s="19">
        <v>1342616.0</v>
      </c>
      <c r="G44" s="19">
        <v>1309000.0</v>
      </c>
      <c r="H44" s="19">
        <v>1275000.0</v>
      </c>
      <c r="I44" s="19">
        <v>1241000.0</v>
      </c>
      <c r="J44" s="19">
        <v>1207000.0</v>
      </c>
      <c r="K44" s="19">
        <v>1173000.0</v>
      </c>
    </row>
    <row r="50">
      <c r="A50" s="1" t="s">
        <v>71</v>
      </c>
      <c r="B50" s="8" t="s">
        <v>24</v>
      </c>
      <c r="C50" s="8" t="s">
        <v>72</v>
      </c>
      <c r="D50" s="8" t="s">
        <v>36</v>
      </c>
      <c r="E50" s="8" t="s">
        <v>73</v>
      </c>
      <c r="G50" s="8"/>
      <c r="H50" s="8"/>
      <c r="I50" s="8"/>
      <c r="J50" s="8"/>
      <c r="K50" s="8"/>
    </row>
    <row r="51">
      <c r="B51" s="11" t="s">
        <v>74</v>
      </c>
      <c r="C51" s="11">
        <v>280.0</v>
      </c>
      <c r="D51" s="11">
        <v>320.0</v>
      </c>
      <c r="E51" s="11">
        <v>360.0</v>
      </c>
    </row>
    <row r="52">
      <c r="B52" s="11" t="s">
        <v>75</v>
      </c>
      <c r="C52" s="11">
        <v>290.0</v>
      </c>
      <c r="D52" s="11">
        <v>335.0</v>
      </c>
      <c r="E52" s="11">
        <v>385.0</v>
      </c>
    </row>
    <row r="53">
      <c r="B53" s="11" t="s">
        <v>76</v>
      </c>
      <c r="C53" s="11">
        <v>300.0</v>
      </c>
      <c r="D53" s="11">
        <v>350.0</v>
      </c>
      <c r="E53" s="11">
        <v>410.0</v>
      </c>
    </row>
    <row r="54">
      <c r="B54" s="11" t="s">
        <v>77</v>
      </c>
      <c r="C54" s="11">
        <v>310.0</v>
      </c>
      <c r="D54" s="11">
        <v>365.0</v>
      </c>
      <c r="E54" s="11">
        <v>435.0</v>
      </c>
    </row>
    <row r="55">
      <c r="B55" s="11" t="s">
        <v>78</v>
      </c>
      <c r="C55" s="11">
        <v>320.0</v>
      </c>
      <c r="D55" s="11">
        <v>380.0</v>
      </c>
      <c r="E55" s="11">
        <v>460.0</v>
      </c>
    </row>
    <row r="56">
      <c r="B56" s="11" t="s">
        <v>79</v>
      </c>
      <c r="C56" s="15">
        <v>0.0</v>
      </c>
      <c r="D56" s="24">
        <v>0.02</v>
      </c>
      <c r="E56" s="24">
        <v>0.04</v>
      </c>
    </row>
    <row r="57">
      <c r="B57" s="11" t="s">
        <v>80</v>
      </c>
      <c r="C57" s="15">
        <v>0.01</v>
      </c>
      <c r="D57" s="15">
        <v>0.025</v>
      </c>
      <c r="E57" s="15">
        <v>0.045</v>
      </c>
    </row>
    <row r="58">
      <c r="B58" s="11" t="s">
        <v>81</v>
      </c>
      <c r="C58" s="15">
        <v>0.015</v>
      </c>
      <c r="D58" s="15">
        <v>0.025</v>
      </c>
      <c r="E58" s="24">
        <v>0.04</v>
      </c>
    </row>
    <row r="59">
      <c r="B59" s="11" t="s">
        <v>82</v>
      </c>
      <c r="C59" s="15">
        <v>0.015</v>
      </c>
      <c r="D59" s="15">
        <v>0.025</v>
      </c>
      <c r="E59" s="15">
        <v>0.035</v>
      </c>
    </row>
    <row r="60">
      <c r="B60" s="11" t="s">
        <v>83</v>
      </c>
      <c r="C60" s="15">
        <v>0.015</v>
      </c>
      <c r="D60" s="24">
        <v>0.02</v>
      </c>
      <c r="E60" s="24">
        <v>0.03</v>
      </c>
    </row>
    <row r="61">
      <c r="B61" s="11" t="s">
        <v>84</v>
      </c>
      <c r="C61" s="15">
        <v>0.305</v>
      </c>
      <c r="D61" s="15">
        <v>0.295</v>
      </c>
      <c r="E61" s="15">
        <v>0.285</v>
      </c>
    </row>
    <row r="62">
      <c r="B62" s="11" t="s">
        <v>49</v>
      </c>
      <c r="C62" s="24">
        <v>0.26</v>
      </c>
      <c r="D62" s="24">
        <v>0.25</v>
      </c>
      <c r="E62" s="24">
        <v>0.24</v>
      </c>
    </row>
    <row r="63">
      <c r="B63" s="11" t="s">
        <v>85</v>
      </c>
      <c r="C63" s="24">
        <v>0.06</v>
      </c>
      <c r="D63" s="15">
        <v>0.055</v>
      </c>
      <c r="E63" s="24">
        <v>0.05</v>
      </c>
    </row>
    <row r="64">
      <c r="B64" s="11" t="s">
        <v>86</v>
      </c>
      <c r="C64" s="11">
        <v>1.2</v>
      </c>
      <c r="D64" s="11">
        <v>1.05</v>
      </c>
      <c r="E64" s="11">
        <v>0.9</v>
      </c>
    </row>
    <row r="65">
      <c r="B65" s="11" t="s">
        <v>87</v>
      </c>
      <c r="C65" s="24">
        <v>0.02</v>
      </c>
      <c r="D65" s="15">
        <v>0.025</v>
      </c>
      <c r="E65" s="24">
        <v>0.03</v>
      </c>
    </row>
  </sheetData>
  <dataValidations>
    <dataValidation type="list" allowBlank="1" showErrorMessage="1" sqref="N4">
      <formula1>"Base,Bull,Bear"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25" t="s">
        <v>88</v>
      </c>
    </row>
    <row r="3">
      <c r="A3" s="8" t="s">
        <v>89</v>
      </c>
      <c r="B3" s="8" t="s">
        <v>72</v>
      </c>
      <c r="C3" s="8" t="s">
        <v>36</v>
      </c>
      <c r="D3" s="8" t="s">
        <v>73</v>
      </c>
    </row>
    <row r="4">
      <c r="A4" s="11" t="s">
        <v>90</v>
      </c>
      <c r="B4" s="11">
        <v>300.0</v>
      </c>
      <c r="C4" s="11">
        <v>350.0</v>
      </c>
      <c r="D4" s="11">
        <v>410.0</v>
      </c>
    </row>
    <row r="5">
      <c r="A5" s="11" t="s">
        <v>91</v>
      </c>
      <c r="B5" s="15">
        <v>0.011</v>
      </c>
      <c r="C5" s="15">
        <v>0.023</v>
      </c>
      <c r="D5" s="24">
        <v>0.04</v>
      </c>
    </row>
    <row r="6">
      <c r="A6" s="11" t="s">
        <v>92</v>
      </c>
      <c r="B6" s="15">
        <v>0.305</v>
      </c>
      <c r="C6" s="15">
        <v>0.295</v>
      </c>
      <c r="D6" s="15">
        <v>0.285</v>
      </c>
    </row>
    <row r="7">
      <c r="A7" s="11" t="s">
        <v>49</v>
      </c>
      <c r="B7" s="24">
        <v>0.26</v>
      </c>
      <c r="C7" s="24">
        <v>0.25</v>
      </c>
      <c r="D7" s="24">
        <v>0.24</v>
      </c>
    </row>
    <row r="8">
      <c r="A8" s="11" t="s">
        <v>86</v>
      </c>
      <c r="B8" s="11">
        <v>1.2</v>
      </c>
      <c r="C8" s="11">
        <v>1.05</v>
      </c>
      <c r="D8" s="11">
        <v>0.9</v>
      </c>
    </row>
    <row r="9">
      <c r="A9" s="11" t="s">
        <v>87</v>
      </c>
      <c r="B9" s="24">
        <v>0.02</v>
      </c>
      <c r="C9" s="15">
        <v>0.025</v>
      </c>
      <c r="D9" s="24">
        <v>0.03</v>
      </c>
    </row>
    <row r="11">
      <c r="A11" s="11" t="s">
        <v>93</v>
      </c>
      <c r="B11" s="19">
        <v>13.1</v>
      </c>
      <c r="C11" s="19">
        <v>19.43</v>
      </c>
      <c r="D11" s="19">
        <v>29.8</v>
      </c>
    </row>
    <row r="12">
      <c r="A12" s="11" t="s">
        <v>94</v>
      </c>
      <c r="B12" s="19">
        <v>32.89</v>
      </c>
      <c r="C12" s="19">
        <v>32.89</v>
      </c>
      <c r="D12" s="19">
        <v>32.89</v>
      </c>
    </row>
    <row r="13">
      <c r="A13" s="11" t="s">
        <v>95</v>
      </c>
      <c r="B13" s="15">
        <f t="shared" ref="B13:D13" si="1">B11/B12-1</f>
        <v>-0.6017026452</v>
      </c>
      <c r="C13" s="15">
        <f t="shared" si="1"/>
        <v>-0.409242931</v>
      </c>
      <c r="D13" s="15">
        <f t="shared" si="1"/>
        <v>-0.09394952873</v>
      </c>
    </row>
    <row r="15">
      <c r="A15" s="11" t="s">
        <v>96</v>
      </c>
    </row>
    <row r="16">
      <c r="A16" s="11" t="s">
        <v>97</v>
      </c>
      <c r="B16" s="19">
        <v>35.0</v>
      </c>
    </row>
    <row r="17">
      <c r="A17" s="11" t="s">
        <v>98</v>
      </c>
      <c r="B17" s="19">
        <v>46.0</v>
      </c>
    </row>
    <row r="18">
      <c r="A18" s="11" t="s">
        <v>99</v>
      </c>
      <c r="B18" s="19">
        <v>46.0</v>
      </c>
    </row>
    <row r="20">
      <c r="A20" s="8" t="s">
        <v>100</v>
      </c>
    </row>
    <row r="21">
      <c r="A21" s="26" t="s">
        <v>101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6" width="14.13"/>
  </cols>
  <sheetData>
    <row r="1">
      <c r="A1" s="8" t="s">
        <v>102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" t="s">
        <v>103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4">
      <c r="A4" s="8" t="s">
        <v>104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6">
      <c r="A6" s="11" t="s">
        <v>105</v>
      </c>
      <c r="B6" s="19">
        <v>7547061.0</v>
      </c>
      <c r="C6" s="19">
        <v>8634652.0</v>
      </c>
      <c r="D6" s="19">
        <v>9871649.0</v>
      </c>
      <c r="E6" s="19">
        <v>1.1313853E7</v>
      </c>
      <c r="F6" s="19">
        <v>1.1925601E7</v>
      </c>
      <c r="G6" s="18">
        <f>Assumptions!G14</f>
        <v>13128723.42</v>
      </c>
      <c r="H6" s="18">
        <f>Assumptions!H14</f>
        <v>14444062.1</v>
      </c>
      <c r="I6" s="18">
        <f>Assumptions!I14</f>
        <v>15866318.29</v>
      </c>
      <c r="J6" s="18">
        <f>Assumptions!J14</f>
        <v>17401249.67</v>
      </c>
      <c r="K6" s="18">
        <f>Assumptions!K14</f>
        <v>18961915.3</v>
      </c>
    </row>
    <row r="7">
      <c r="A7" s="11" t="s">
        <v>106</v>
      </c>
      <c r="B7" s="19">
        <v>2308631.0</v>
      </c>
      <c r="C7" s="19">
        <v>2602245.0</v>
      </c>
      <c r="D7" s="19">
        <v>2912564.0</v>
      </c>
      <c r="E7" s="19">
        <v>3374516.0</v>
      </c>
      <c r="F7" s="19">
        <v>3526992.0</v>
      </c>
      <c r="G7" s="18">
        <f>Assumptions!G18*G6</f>
        <v>3872973.41</v>
      </c>
      <c r="H7" s="18">
        <f>Assumptions!H18*H6</f>
        <v>4260998.32</v>
      </c>
      <c r="I7" s="18">
        <f>Assumptions!I18*I6</f>
        <v>4680563.895</v>
      </c>
      <c r="J7" s="18">
        <f>Assumptions!J18*J6</f>
        <v>5133368.654</v>
      </c>
      <c r="K7" s="18">
        <f>Assumptions!K18*K6</f>
        <v>5593765.012</v>
      </c>
    </row>
    <row r="8">
      <c r="A8" s="11" t="s">
        <v>107</v>
      </c>
      <c r="B8" s="19">
        <v>1917761.0</v>
      </c>
      <c r="C8" s="19">
        <v>2197958.0</v>
      </c>
      <c r="D8" s="19">
        <v>2440982.0</v>
      </c>
      <c r="E8" s="19">
        <v>2789789.0</v>
      </c>
      <c r="F8" s="19">
        <v>2991680.0</v>
      </c>
      <c r="G8" s="18">
        <f>Assumptions!G19*G6</f>
        <v>3282180.856</v>
      </c>
      <c r="H8" s="18">
        <f>Assumptions!H19*H6</f>
        <v>3611015.525</v>
      </c>
      <c r="I8" s="18">
        <f>Assumptions!I19*I6</f>
        <v>3966579.572</v>
      </c>
      <c r="J8" s="18">
        <f>Assumptions!J19*J6</f>
        <v>4350312.419</v>
      </c>
      <c r="K8" s="18">
        <f>Assumptions!K19*K6</f>
        <v>4740478.824</v>
      </c>
    </row>
    <row r="9">
      <c r="A9" s="11" t="s">
        <v>108</v>
      </c>
      <c r="B9" s="19">
        <v>416606.0</v>
      </c>
      <c r="C9" s="19">
        <v>460425.0</v>
      </c>
      <c r="D9" s="19">
        <v>503264.0</v>
      </c>
      <c r="E9" s="19">
        <v>563374.0</v>
      </c>
      <c r="F9" s="19">
        <v>624898.0</v>
      </c>
      <c r="G9" s="18">
        <f>Assumptions!G20*G6</f>
        <v>669564.8946</v>
      </c>
      <c r="H9" s="18">
        <f>Assumptions!H20*H6</f>
        <v>736647.1671</v>
      </c>
      <c r="I9" s="18">
        <f>Assumptions!I20*I6</f>
        <v>809182.2326</v>
      </c>
      <c r="J9" s="18">
        <f>Assumptions!J20*J6</f>
        <v>870062.4837</v>
      </c>
      <c r="K9" s="18">
        <f>Assumptions!K20*K6</f>
        <v>948095.7648</v>
      </c>
    </row>
    <row r="10">
      <c r="A10" s="11" t="s">
        <v>109</v>
      </c>
      <c r="B10" s="19">
        <v>1197054.0</v>
      </c>
      <c r="C10" s="19">
        <v>1311905.0</v>
      </c>
      <c r="D10" s="19">
        <v>1428747.0</v>
      </c>
      <c r="E10" s="19">
        <v>1568482.0</v>
      </c>
      <c r="F10" s="19">
        <v>1755824.0</v>
      </c>
      <c r="G10" s="18">
        <f>Assumptions!G21*G6</f>
        <v>1903664.897</v>
      </c>
      <c r="H10" s="18">
        <f>Assumptions!H21*H6</f>
        <v>2094389.005</v>
      </c>
      <c r="I10" s="18">
        <f>Assumptions!I21*I6</f>
        <v>2300616.152</v>
      </c>
      <c r="J10" s="18">
        <f>Assumptions!J21*J6</f>
        <v>2523181.203</v>
      </c>
      <c r="K10" s="18">
        <f>Assumptions!K21*K6</f>
        <v>2749477.718</v>
      </c>
    </row>
    <row r="11">
      <c r="A11" s="11" t="s">
        <v>110</v>
      </c>
      <c r="B11" s="19">
        <v>606854.0</v>
      </c>
      <c r="C11" s="19">
        <v>564191.0</v>
      </c>
      <c r="D11" s="19">
        <v>633584.0</v>
      </c>
      <c r="E11" s="19">
        <v>697483.0</v>
      </c>
      <c r="F11" s="19">
        <v>652017.0</v>
      </c>
      <c r="G11" s="18">
        <f>Assumptions!G22*G6</f>
        <v>722079.7883</v>
      </c>
      <c r="H11" s="18">
        <f>Assumptions!H22*H6</f>
        <v>794423.4155</v>
      </c>
      <c r="I11" s="18">
        <f>Assumptions!I22*I6</f>
        <v>872647.5058</v>
      </c>
      <c r="J11" s="18">
        <f>Assumptions!J22*J6</f>
        <v>957068.7321</v>
      </c>
      <c r="K11" s="18">
        <f>Assumptions!K22*K6</f>
        <v>1042905.341</v>
      </c>
    </row>
    <row r="12">
      <c r="A12" s="11" t="s">
        <v>111</v>
      </c>
      <c r="B12" s="19">
        <v>254657.0</v>
      </c>
      <c r="C12" s="19">
        <v>286826.0</v>
      </c>
      <c r="D12" s="19">
        <v>319394.0</v>
      </c>
      <c r="E12" s="19">
        <v>335030.0</v>
      </c>
      <c r="F12" s="19">
        <v>361382.0</v>
      </c>
      <c r="G12" s="18">
        <f>Assumptions!G23*G6</f>
        <v>393861.7027</v>
      </c>
      <c r="H12" s="18">
        <f>Assumptions!H23*H6</f>
        <v>433321.863</v>
      </c>
      <c r="I12" s="18">
        <f>Assumptions!I23*I6</f>
        <v>475989.5486</v>
      </c>
      <c r="J12" s="18">
        <f>Assumptions!J23*J6</f>
        <v>522037.4902</v>
      </c>
      <c r="K12" s="18">
        <f>Assumptions!K23*K6</f>
        <v>568857.4589</v>
      </c>
    </row>
    <row r="13">
      <c r="A13" s="11" t="s">
        <v>112</v>
      </c>
      <c r="B13" s="19">
        <v>21264.0</v>
      </c>
      <c r="C13" s="19">
        <v>29560.0</v>
      </c>
      <c r="D13" s="19">
        <v>36931.0</v>
      </c>
      <c r="E13" s="19">
        <v>41897.0</v>
      </c>
      <c r="F13" s="19">
        <v>49507.0</v>
      </c>
      <c r="G13" s="18">
        <f>Assumptions!G24*Assumptions!G8</f>
        <v>51200</v>
      </c>
      <c r="H13" s="18">
        <f>Assumptions!H24*Assumptions!H8</f>
        <v>53600</v>
      </c>
      <c r="I13" s="18">
        <f>Assumptions!I24*Assumptions!I8</f>
        <v>56000</v>
      </c>
      <c r="J13" s="18">
        <f>Assumptions!J24*Assumptions!J8</f>
        <v>58400</v>
      </c>
      <c r="K13" s="18">
        <f>Assumptions!K24*Assumptions!K8</f>
        <v>60800</v>
      </c>
    </row>
    <row r="14">
      <c r="A14" s="11" t="s">
        <v>113</v>
      </c>
      <c r="B14" s="19">
        <v>19291.0</v>
      </c>
      <c r="C14" s="19">
        <v>21139.0</v>
      </c>
      <c r="D14" s="19">
        <v>38370.0</v>
      </c>
      <c r="E14" s="19">
        <v>26949.0</v>
      </c>
      <c r="F14" s="19">
        <v>27503.0</v>
      </c>
      <c r="G14" s="18">
        <f>Assumptions!G25</f>
        <v>30000</v>
      </c>
      <c r="H14" s="18">
        <f>Assumptions!H25</f>
        <v>30000</v>
      </c>
      <c r="I14" s="18">
        <f>Assumptions!I25</f>
        <v>30000</v>
      </c>
      <c r="J14" s="18">
        <f>Assumptions!J25</f>
        <v>30000</v>
      </c>
      <c r="K14" s="18">
        <f>Assumptions!K25</f>
        <v>30000</v>
      </c>
    </row>
    <row r="15">
      <c r="A15" s="8" t="s">
        <v>114</v>
      </c>
      <c r="B15" s="27">
        <f t="shared" ref="B15:K15" si="1">SUM(B7:B14)</f>
        <v>6742118</v>
      </c>
      <c r="C15" s="27">
        <f t="shared" si="1"/>
        <v>7474249</v>
      </c>
      <c r="D15" s="27">
        <f t="shared" si="1"/>
        <v>8313836</v>
      </c>
      <c r="E15" s="27">
        <f t="shared" si="1"/>
        <v>9397520</v>
      </c>
      <c r="F15" s="27">
        <f t="shared" si="1"/>
        <v>9989803</v>
      </c>
      <c r="G15" s="28">
        <f t="shared" si="1"/>
        <v>10925525.55</v>
      </c>
      <c r="H15" s="28">
        <f t="shared" si="1"/>
        <v>12014395.29</v>
      </c>
      <c r="I15" s="28">
        <f t="shared" si="1"/>
        <v>13191578.91</v>
      </c>
      <c r="J15" s="28">
        <f t="shared" si="1"/>
        <v>14444430.98</v>
      </c>
      <c r="K15" s="28">
        <f t="shared" si="1"/>
        <v>15734380.12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 t="s">
        <v>115</v>
      </c>
      <c r="B16" s="27">
        <f t="shared" ref="B16:K16" si="2">B6-B15</f>
        <v>804943</v>
      </c>
      <c r="C16" s="27">
        <f t="shared" si="2"/>
        <v>1160403</v>
      </c>
      <c r="D16" s="27">
        <f t="shared" si="2"/>
        <v>1557813</v>
      </c>
      <c r="E16" s="27">
        <f t="shared" si="2"/>
        <v>1916333</v>
      </c>
      <c r="F16" s="27">
        <f t="shared" si="2"/>
        <v>1935798</v>
      </c>
      <c r="G16" s="28">
        <f t="shared" si="2"/>
        <v>2203197.876</v>
      </c>
      <c r="H16" s="28">
        <f t="shared" si="2"/>
        <v>2429666.805</v>
      </c>
      <c r="I16" s="28">
        <f t="shared" si="2"/>
        <v>2674739.382</v>
      </c>
      <c r="J16" s="28">
        <f t="shared" si="2"/>
        <v>2956818.693</v>
      </c>
      <c r="K16" s="28">
        <f t="shared" si="2"/>
        <v>3227535.177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 t="s">
        <v>116</v>
      </c>
      <c r="B17" s="19">
        <v>7820.0</v>
      </c>
      <c r="C17" s="19">
        <v>21128.0</v>
      </c>
      <c r="D17" s="19">
        <v>62693.0</v>
      </c>
      <c r="E17" s="19">
        <v>93897.0</v>
      </c>
      <c r="F17" s="19">
        <v>73721.0</v>
      </c>
      <c r="G17" s="29">
        <v>75000.0</v>
      </c>
      <c r="H17" s="29">
        <v>75000.0</v>
      </c>
      <c r="I17" s="29">
        <v>75000.0</v>
      </c>
      <c r="J17" s="29">
        <v>75000.0</v>
      </c>
      <c r="K17" s="29">
        <v>75000.0</v>
      </c>
    </row>
    <row r="18">
      <c r="A18" s="11" t="s">
        <v>117</v>
      </c>
      <c r="B18" s="29">
        <f t="shared" ref="B18:K18" si="3">B16+B17</f>
        <v>812763</v>
      </c>
      <c r="C18" s="29">
        <f t="shared" si="3"/>
        <v>1181531</v>
      </c>
      <c r="D18" s="29">
        <f t="shared" si="3"/>
        <v>1620506</v>
      </c>
      <c r="E18" s="29">
        <f t="shared" si="3"/>
        <v>2010230</v>
      </c>
      <c r="F18" s="29">
        <f t="shared" si="3"/>
        <v>2009519</v>
      </c>
      <c r="G18" s="18">
        <f t="shared" si="3"/>
        <v>2278197.876</v>
      </c>
      <c r="H18" s="18">
        <f t="shared" si="3"/>
        <v>2504666.805</v>
      </c>
      <c r="I18" s="18">
        <f t="shared" si="3"/>
        <v>2749739.382</v>
      </c>
      <c r="J18" s="18">
        <f t="shared" si="3"/>
        <v>3031818.693</v>
      </c>
      <c r="K18" s="18">
        <f t="shared" si="3"/>
        <v>3302535.177</v>
      </c>
    </row>
    <row r="19">
      <c r="A19" s="11" t="s">
        <v>118</v>
      </c>
      <c r="B19" s="19">
        <v>159779.0</v>
      </c>
      <c r="C19" s="19">
        <v>282430.0</v>
      </c>
      <c r="D19" s="19">
        <v>391769.0</v>
      </c>
      <c r="E19" s="19">
        <v>476120.0</v>
      </c>
      <c r="F19" s="19">
        <v>473758.0</v>
      </c>
      <c r="G19" s="18">
        <f>Assumptions!G39*G18</f>
        <v>535376.5008</v>
      </c>
      <c r="H19" s="18">
        <f>Assumptions!H39*H18</f>
        <v>588596.6993</v>
      </c>
      <c r="I19" s="18">
        <f>Assumptions!I39*I18</f>
        <v>646188.7548</v>
      </c>
      <c r="J19" s="18">
        <f>Assumptions!J39*J18</f>
        <v>712477.3929</v>
      </c>
      <c r="K19" s="18">
        <f>Assumptions!K39*K18</f>
        <v>776095.7666</v>
      </c>
    </row>
    <row r="20">
      <c r="A20" s="8" t="s">
        <v>119</v>
      </c>
      <c r="B20" s="27">
        <f t="shared" ref="B20:K20" si="4">B18-B19</f>
        <v>652984</v>
      </c>
      <c r="C20" s="27">
        <f t="shared" si="4"/>
        <v>899101</v>
      </c>
      <c r="D20" s="27">
        <f t="shared" si="4"/>
        <v>1228737</v>
      </c>
      <c r="E20" s="27">
        <f t="shared" si="4"/>
        <v>1534110</v>
      </c>
      <c r="F20" s="27">
        <f t="shared" si="4"/>
        <v>1535761</v>
      </c>
      <c r="G20" s="28">
        <f t="shared" si="4"/>
        <v>1742821.375</v>
      </c>
      <c r="H20" s="28">
        <f t="shared" si="4"/>
        <v>1916070.106</v>
      </c>
      <c r="I20" s="28">
        <f t="shared" si="4"/>
        <v>2103550.627</v>
      </c>
      <c r="J20" s="28">
        <f t="shared" si="4"/>
        <v>2319341.3</v>
      </c>
      <c r="K20" s="28">
        <f t="shared" si="4"/>
        <v>2526439.41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5.13"/>
    <col customWidth="1" min="3" max="3" width="14.88"/>
    <col customWidth="1" min="4" max="4" width="15.63"/>
    <col customWidth="1" min="5" max="5" width="15.13"/>
    <col customWidth="1" min="6" max="6" width="14.63"/>
  </cols>
  <sheetData>
    <row r="1">
      <c r="A1" s="8" t="s">
        <v>120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" t="s">
        <v>103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4">
      <c r="A4" s="8" t="s">
        <v>104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6">
      <c r="A6" s="11" t="s">
        <v>121</v>
      </c>
      <c r="B6" s="13">
        <f>'Cash Flow'!B42 - B15</f>
        <v>815374</v>
      </c>
      <c r="C6" s="19">
        <v>384000.0</v>
      </c>
      <c r="D6" s="19">
        <v>560609.0</v>
      </c>
      <c r="E6" s="19">
        <v>748537.0</v>
      </c>
      <c r="F6" s="19">
        <v>350545.0</v>
      </c>
      <c r="G6" s="18">
        <f>'Cash Flow'!G42-'Balance Sheet'!G15</f>
        <v>163987.3157</v>
      </c>
      <c r="H6" s="18">
        <f>'Cash Flow'!H42-'Balance Sheet'!H15</f>
        <v>100186.7763</v>
      </c>
      <c r="I6" s="18">
        <f>'Cash Flow'!I42-'Balance Sheet'!I15</f>
        <v>12817.31252</v>
      </c>
      <c r="J6" s="18">
        <f>'Cash Flow'!J42-'Balance Sheet'!J15</f>
        <v>131530.05</v>
      </c>
      <c r="K6" s="18">
        <f>'Cash Flow'!K42-'Balance Sheet'!K15</f>
        <v>444655.0264</v>
      </c>
    </row>
    <row r="7">
      <c r="A7" s="11" t="s">
        <v>122</v>
      </c>
      <c r="B7" s="19">
        <v>260945.0</v>
      </c>
      <c r="C7" s="19">
        <v>515136.0</v>
      </c>
      <c r="D7" s="19">
        <v>734838.0</v>
      </c>
      <c r="E7" s="19">
        <v>674378.0</v>
      </c>
      <c r="F7" s="19">
        <v>698591.0</v>
      </c>
      <c r="G7" s="18">
        <f t="shared" ref="G7:K7" si="1">F7</f>
        <v>698591</v>
      </c>
      <c r="H7" s="18">
        <f t="shared" si="1"/>
        <v>698591</v>
      </c>
      <c r="I7" s="18">
        <f t="shared" si="1"/>
        <v>698591</v>
      </c>
      <c r="J7" s="18">
        <f t="shared" si="1"/>
        <v>698591</v>
      </c>
      <c r="K7" s="18">
        <f t="shared" si="1"/>
        <v>698591</v>
      </c>
    </row>
    <row r="8">
      <c r="A8" s="11" t="s">
        <v>123</v>
      </c>
      <c r="B8" s="19">
        <v>99599.0</v>
      </c>
      <c r="C8" s="19">
        <v>106880.0</v>
      </c>
      <c r="D8" s="19">
        <v>115535.0</v>
      </c>
      <c r="E8" s="19">
        <v>143963.0</v>
      </c>
      <c r="F8" s="19">
        <v>156466.0</v>
      </c>
      <c r="G8" s="18">
        <f>Assumptions!G28/365*'Income Statement'!G6</f>
        <v>179845.5264</v>
      </c>
      <c r="H8" s="18">
        <f>Assumptions!H28/365*'Income Statement'!H6</f>
        <v>197863.8644</v>
      </c>
      <c r="I8" s="18">
        <f>Assumptions!I28/365*'Income Statement'!I6</f>
        <v>217346.8259</v>
      </c>
      <c r="J8" s="18">
        <f>Assumptions!J28/365*'Income Statement'!J6</f>
        <v>238373.2832</v>
      </c>
      <c r="K8" s="18">
        <f>Assumptions!K28/365*'Income Statement'!K6</f>
        <v>259752.2643</v>
      </c>
    </row>
    <row r="9" ht="18.75" customHeight="1">
      <c r="A9" s="11" t="s">
        <v>124</v>
      </c>
      <c r="B9" s="19">
        <v>32826.0</v>
      </c>
      <c r="C9" s="19">
        <v>35668.0</v>
      </c>
      <c r="D9" s="19">
        <v>39309.0</v>
      </c>
      <c r="E9" s="19">
        <v>48942.0</v>
      </c>
      <c r="F9" s="19">
        <v>49508.0</v>
      </c>
      <c r="G9" s="18">
        <f>Assumptions!G29/365*'Income Statement'!G7</f>
        <v>53054.43028</v>
      </c>
      <c r="H9" s="18">
        <f>Assumptions!H29/365*'Income Statement'!H7</f>
        <v>58369.83999</v>
      </c>
      <c r="I9" s="18">
        <f>Assumptions!I29/365*'Income Statement'!I7</f>
        <v>64117.31363</v>
      </c>
      <c r="J9" s="18">
        <f>Assumptions!J29/365*'Income Statement'!J7</f>
        <v>70320.11855</v>
      </c>
      <c r="K9" s="18">
        <f>Assumptions!K29/365*'Income Statement'!K7</f>
        <v>76626.91798</v>
      </c>
    </row>
    <row r="10" ht="18.75" customHeight="1">
      <c r="A10" s="11" t="s">
        <v>125</v>
      </c>
      <c r="B10" s="19">
        <v>94064.0</v>
      </c>
      <c r="C10" s="19">
        <v>47741.0</v>
      </c>
      <c r="D10" s="19">
        <v>52960.0</v>
      </c>
      <c r="E10" s="19">
        <v>67229.0</v>
      </c>
      <c r="F10" s="19">
        <v>91393.0</v>
      </c>
      <c r="G10" s="18">
        <f t="shared" ref="G10:K10" si="2">F10</f>
        <v>91393</v>
      </c>
      <c r="H10" s="18">
        <f t="shared" si="2"/>
        <v>91393</v>
      </c>
      <c r="I10" s="18">
        <f t="shared" si="2"/>
        <v>91393</v>
      </c>
      <c r="J10" s="18">
        <f t="shared" si="2"/>
        <v>91393</v>
      </c>
      <c r="K10" s="18">
        <f t="shared" si="2"/>
        <v>91393</v>
      </c>
    </row>
    <row r="11">
      <c r="A11" s="11" t="s">
        <v>126</v>
      </c>
      <c r="B11" s="19">
        <v>78756.0</v>
      </c>
      <c r="C11" s="19">
        <v>86412.0</v>
      </c>
      <c r="D11" s="19">
        <v>117462.0</v>
      </c>
      <c r="E11" s="19">
        <v>97538.0</v>
      </c>
      <c r="F11" s="19">
        <v>120450.0</v>
      </c>
      <c r="G11" s="18">
        <f>Assumptions!G31*'Income Statement'!G6</f>
        <v>262574.4685</v>
      </c>
      <c r="H11" s="18">
        <f>Assumptions!H31*'Income Statement'!H6</f>
        <v>288881.242</v>
      </c>
      <c r="I11" s="18">
        <f>Assumptions!I31*'Income Statement'!I6</f>
        <v>317326.3657</v>
      </c>
      <c r="J11" s="18">
        <f>Assumptions!J31*'Income Statement'!J6</f>
        <v>348024.9935</v>
      </c>
      <c r="K11" s="18">
        <f>Assumptions!K31*'Income Statement'!K6</f>
        <v>379238.3059</v>
      </c>
    </row>
    <row r="12">
      <c r="A12" s="8" t="s">
        <v>127</v>
      </c>
      <c r="B12" s="27">
        <f t="shared" ref="B12:F12" si="3">sum(B6:B11)</f>
        <v>1381564</v>
      </c>
      <c r="C12" s="27">
        <f t="shared" si="3"/>
        <v>1175837</v>
      </c>
      <c r="D12" s="27">
        <f t="shared" si="3"/>
        <v>1620713</v>
      </c>
      <c r="E12" s="27">
        <f t="shared" si="3"/>
        <v>1780587</v>
      </c>
      <c r="F12" s="27">
        <f t="shared" si="3"/>
        <v>1466953</v>
      </c>
      <c r="G12" s="28">
        <f t="shared" ref="G12:K12" si="4">SUM(G6:G11)</f>
        <v>1449445.741</v>
      </c>
      <c r="H12" s="28">
        <f t="shared" si="4"/>
        <v>1435285.723</v>
      </c>
      <c r="I12" s="28">
        <f t="shared" si="4"/>
        <v>1401591.818</v>
      </c>
      <c r="J12" s="28">
        <f t="shared" si="4"/>
        <v>1578232.445</v>
      </c>
      <c r="K12" s="28">
        <f t="shared" si="4"/>
        <v>1950256.515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 t="s">
        <v>128</v>
      </c>
      <c r="B13" s="19">
        <v>1769278.0</v>
      </c>
      <c r="C13" s="19">
        <v>1951147.0</v>
      </c>
      <c r="D13" s="19">
        <v>2170038.0</v>
      </c>
      <c r="E13" s="19">
        <v>2390126.0</v>
      </c>
      <c r="F13" s="19">
        <v>2679361.0</v>
      </c>
      <c r="G13" s="18">
        <f>F13+Assumptions!G36-'Income Statement'!G12-'Income Statement'!G14</f>
        <v>3142073.766</v>
      </c>
      <c r="H13" s="18">
        <f>G13+Assumptions!H36-'Income Statement'!H12-'Income Statement'!H14</f>
        <v>3620883.145</v>
      </c>
      <c r="I13" s="18">
        <f>H13+Assumptions!I36-'Income Statement'!I12-'Income Statement'!I14</f>
        <v>4114719.962</v>
      </c>
      <c r="J13" s="18">
        <f>I13+Assumptions!J36-'Income Statement'!J12-'Income Statement'!J14</f>
        <v>4622457.465</v>
      </c>
      <c r="K13" s="18">
        <f>J13+Assumptions!K36-'Income Statement'!K12-'Income Statement'!K14</f>
        <v>5143838.312</v>
      </c>
    </row>
    <row r="14">
      <c r="A14" s="11" t="s">
        <v>129</v>
      </c>
      <c r="B14" s="19">
        <v>274311.0</v>
      </c>
      <c r="C14" s="19">
        <v>388055.0</v>
      </c>
      <c r="D14" s="19">
        <v>564488.0</v>
      </c>
      <c r="E14" s="19">
        <v>868025.0</v>
      </c>
      <c r="F14" s="19">
        <v>197123.0</v>
      </c>
      <c r="G14" s="18">
        <f t="shared" ref="G14:K14" si="5">F14</f>
        <v>197123</v>
      </c>
      <c r="H14" s="18">
        <f t="shared" si="5"/>
        <v>197123</v>
      </c>
      <c r="I14" s="18">
        <f t="shared" si="5"/>
        <v>197123</v>
      </c>
      <c r="J14" s="18">
        <f t="shared" si="5"/>
        <v>197123</v>
      </c>
      <c r="K14" s="18">
        <f t="shared" si="5"/>
        <v>197123</v>
      </c>
    </row>
    <row r="15">
      <c r="A15" s="11" t="s">
        <v>130</v>
      </c>
      <c r="B15" s="19">
        <v>30856.0</v>
      </c>
      <c r="C15" s="19">
        <v>24966.0</v>
      </c>
      <c r="D15" s="19">
        <v>25554.0</v>
      </c>
      <c r="E15" s="19">
        <v>29842.0</v>
      </c>
      <c r="F15" s="19">
        <v>35364.0</v>
      </c>
      <c r="G15" s="18">
        <f t="shared" ref="G15:K15" si="6">F15</f>
        <v>35364</v>
      </c>
      <c r="H15" s="18">
        <f t="shared" si="6"/>
        <v>35364</v>
      </c>
      <c r="I15" s="18">
        <f t="shared" si="6"/>
        <v>35364</v>
      </c>
      <c r="J15" s="18">
        <f t="shared" si="6"/>
        <v>35364</v>
      </c>
      <c r="K15" s="18">
        <f t="shared" si="6"/>
        <v>35364</v>
      </c>
    </row>
    <row r="16">
      <c r="A16" s="11" t="s">
        <v>131</v>
      </c>
      <c r="B16" s="19">
        <v>3118294.0</v>
      </c>
      <c r="C16" s="19">
        <v>3302402.0</v>
      </c>
      <c r="D16" s="19">
        <v>3578548.0</v>
      </c>
      <c r="E16" s="19">
        <v>4000127.0</v>
      </c>
      <c r="F16" s="19">
        <v>4463010.0</v>
      </c>
      <c r="G16" s="18">
        <f>F16+('Balance Sheet'!G25-'Balance Sheet'!F25)+('Balance Sheet'!G27-'Balance Sheet'!F27)</f>
        <v>4975086.972</v>
      </c>
      <c r="H16" s="18">
        <f>G16+('Balance Sheet'!H25-'Balance Sheet'!G25)+('Balance Sheet'!H27-'Balance Sheet'!G27)</f>
        <v>5534925.798</v>
      </c>
      <c r="I16" s="18">
        <f>H16+('Balance Sheet'!I25-'Balance Sheet'!H25)+('Balance Sheet'!I27-'Balance Sheet'!H27)</f>
        <v>6140271.211</v>
      </c>
      <c r="J16" s="18">
        <f>I16+('Balance Sheet'!J25-'Balance Sheet'!I25)+('Balance Sheet'!J27-'Balance Sheet'!I27)</f>
        <v>6793573.818</v>
      </c>
      <c r="K16" s="18">
        <f>J16+('Balance Sheet'!K25-'Balance Sheet'!J25)+('Balance Sheet'!K27-'Balance Sheet'!J27)</f>
        <v>7457829.516</v>
      </c>
    </row>
    <row r="17">
      <c r="A17" s="11" t="s">
        <v>132</v>
      </c>
      <c r="B17" s="19">
        <v>56716.0</v>
      </c>
      <c r="C17" s="19">
        <v>63158.0</v>
      </c>
      <c r="D17" s="19">
        <v>63082.0</v>
      </c>
      <c r="E17" s="19">
        <v>113728.0</v>
      </c>
      <c r="F17" s="19">
        <v>130781.0</v>
      </c>
      <c r="G17" s="18">
        <f t="shared" ref="G17:K17" si="7">F17</f>
        <v>130781</v>
      </c>
      <c r="H17" s="18">
        <f t="shared" si="7"/>
        <v>130781</v>
      </c>
      <c r="I17" s="18">
        <f t="shared" si="7"/>
        <v>130781</v>
      </c>
      <c r="J17" s="18">
        <f t="shared" si="7"/>
        <v>130781</v>
      </c>
      <c r="K17" s="18">
        <f t="shared" si="7"/>
        <v>130781</v>
      </c>
    </row>
    <row r="18">
      <c r="A18" s="11" t="s">
        <v>133</v>
      </c>
      <c r="B18" s="19">
        <v>21939.0</v>
      </c>
      <c r="C18" s="19">
        <v>21939.0</v>
      </c>
      <c r="D18" s="19">
        <v>21939.0</v>
      </c>
      <c r="E18" s="19">
        <v>21939.0</v>
      </c>
      <c r="F18" s="19">
        <v>21939.0</v>
      </c>
      <c r="G18" s="18">
        <f t="shared" ref="G18:K18" si="8">F18</f>
        <v>21939</v>
      </c>
      <c r="H18" s="18">
        <f t="shared" si="8"/>
        <v>21939</v>
      </c>
      <c r="I18" s="18">
        <f t="shared" si="8"/>
        <v>21939</v>
      </c>
      <c r="J18" s="18">
        <f t="shared" si="8"/>
        <v>21939</v>
      </c>
      <c r="K18" s="18">
        <f t="shared" si="8"/>
        <v>21939</v>
      </c>
    </row>
    <row r="19">
      <c r="A19" s="8" t="s">
        <v>134</v>
      </c>
      <c r="B19" s="27">
        <f t="shared" ref="B19:K19" si="9">B12+SUM(B13:B18)</f>
        <v>6652958</v>
      </c>
      <c r="C19" s="27">
        <f t="shared" si="9"/>
        <v>6927504</v>
      </c>
      <c r="D19" s="27">
        <f t="shared" si="9"/>
        <v>8044362</v>
      </c>
      <c r="E19" s="27">
        <f t="shared" si="9"/>
        <v>9204374</v>
      </c>
      <c r="F19" s="27">
        <f t="shared" si="9"/>
        <v>8994531</v>
      </c>
      <c r="G19" s="27">
        <f t="shared" si="9"/>
        <v>9951813.478</v>
      </c>
      <c r="H19" s="28">
        <f t="shared" si="9"/>
        <v>10976301.67</v>
      </c>
      <c r="I19" s="28">
        <f t="shared" si="9"/>
        <v>12041789.99</v>
      </c>
      <c r="J19" s="28">
        <f t="shared" si="9"/>
        <v>13379470.73</v>
      </c>
      <c r="K19" s="28">
        <f t="shared" si="9"/>
        <v>14937131.34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B20" s="13"/>
      <c r="C20" s="13"/>
      <c r="D20" s="13"/>
      <c r="E20" s="13"/>
      <c r="F20" s="13"/>
    </row>
    <row r="21">
      <c r="A21" s="11" t="s">
        <v>135</v>
      </c>
      <c r="B21" s="19">
        <v>163161.0</v>
      </c>
      <c r="C21" s="19">
        <v>184566.0</v>
      </c>
      <c r="D21" s="19">
        <v>197646.0</v>
      </c>
      <c r="E21" s="19">
        <v>210695.0</v>
      </c>
      <c r="F21" s="19">
        <v>212813.0</v>
      </c>
      <c r="G21" s="18">
        <f>Assumptions!G30/365*'Income Statement'!G7</f>
        <v>244050.3793</v>
      </c>
      <c r="H21" s="18">
        <f>Assumptions!H30/365*'Income Statement'!H7</f>
        <v>268501.264</v>
      </c>
      <c r="I21" s="18">
        <f>Assumptions!I30/365*'Income Statement'!I7</f>
        <v>294939.6427</v>
      </c>
      <c r="J21" s="18">
        <f>Assumptions!J30/365*'Income Statement'!J7</f>
        <v>323472.5453</v>
      </c>
      <c r="K21" s="18">
        <f>Assumptions!K30/365*'Income Statement'!K7</f>
        <v>352483.8227</v>
      </c>
    </row>
    <row r="22">
      <c r="A22" s="11" t="s">
        <v>136</v>
      </c>
      <c r="B22" s="19">
        <v>162405.0</v>
      </c>
      <c r="C22" s="19">
        <v>170456.0</v>
      </c>
      <c r="D22" s="19">
        <v>227537.0</v>
      </c>
      <c r="E22" s="19">
        <v>261913.0</v>
      </c>
      <c r="F22" s="19">
        <v>250126.0</v>
      </c>
      <c r="G22" s="18">
        <f>F22/'Income Statement'!F8*'Income Statement'!G8</f>
        <v>274413.9643</v>
      </c>
      <c r="H22" s="18">
        <f>G22/'Income Statement'!G8*'Income Statement'!H8</f>
        <v>301906.9116</v>
      </c>
      <c r="I22" s="18">
        <f>H22/'Income Statement'!H8*'Income Statement'!I8</f>
        <v>331634.6274</v>
      </c>
      <c r="J22" s="18">
        <f>I22/'Income Statement'!I8*'Income Statement'!J8</f>
        <v>363717.4578</v>
      </c>
      <c r="K22" s="18">
        <f>J22/'Income Statement'!J8*'Income Statement'!K8</f>
        <v>396338.18</v>
      </c>
    </row>
    <row r="23">
      <c r="A23" s="11" t="s">
        <v>137</v>
      </c>
      <c r="B23" s="19">
        <v>173052.0</v>
      </c>
      <c r="C23" s="19">
        <v>147539.0</v>
      </c>
      <c r="D23" s="19">
        <v>147688.0</v>
      </c>
      <c r="E23" s="19">
        <v>179747.0</v>
      </c>
      <c r="F23" s="19">
        <v>182448.0</v>
      </c>
      <c r="G23" s="18">
        <f>F23/'Income Statement'!F6*'Income Statement'!G6</f>
        <v>200854.3914</v>
      </c>
      <c r="H23" s="18">
        <f>G23/'Income Statement'!G6*'Income Statement'!H6</f>
        <v>220977.5626</v>
      </c>
      <c r="I23" s="18">
        <f>H23/'Income Statement'!H6*'Income Statement'!I6</f>
        <v>242736.449</v>
      </c>
      <c r="J23" s="18">
        <f>I23/'Income Statement'!I6*'Income Statement'!J6</f>
        <v>266219.1365</v>
      </c>
      <c r="K23" s="18">
        <f>J23/'Income Statement'!J6*'Income Statement'!K6</f>
        <v>290095.5283</v>
      </c>
    </row>
    <row r="24">
      <c r="A24" s="11" t="s">
        <v>138</v>
      </c>
      <c r="B24" s="19">
        <v>156351.0</v>
      </c>
      <c r="C24" s="19">
        <v>183071.0</v>
      </c>
      <c r="D24" s="19">
        <v>209680.0</v>
      </c>
      <c r="E24" s="19">
        <v>238577.0</v>
      </c>
      <c r="F24" s="19">
        <v>240375.0</v>
      </c>
      <c r="G24" s="18">
        <f>F24/'Income Statement'!F6*'Income Statement'!G6</f>
        <v>264625.3965</v>
      </c>
      <c r="H24" s="18">
        <f>G24/'Income Statement'!G6*'Income Statement'!H6</f>
        <v>291137.6481</v>
      </c>
      <c r="I24" s="18">
        <f>H24/'Income Statement'!H6*'Income Statement'!I6</f>
        <v>319804.9522</v>
      </c>
      <c r="J24" s="18">
        <f>I24/'Income Statement'!I6*'Income Statement'!J6</f>
        <v>350743.3622</v>
      </c>
      <c r="K24" s="18">
        <f>J24/'Income Statement'!J6*'Income Statement'!K6</f>
        <v>382200.4769</v>
      </c>
    </row>
    <row r="25">
      <c r="A25" s="11" t="s">
        <v>139</v>
      </c>
      <c r="B25" s="19">
        <v>218713.0</v>
      </c>
      <c r="C25" s="19">
        <v>236248.0</v>
      </c>
      <c r="D25" s="19">
        <v>248074.0</v>
      </c>
      <c r="E25" s="19">
        <v>277836.0</v>
      </c>
      <c r="F25" s="19">
        <v>302380.0</v>
      </c>
      <c r="G25" s="18">
        <f>F25/'Income Statement'!F6*'Income Statement'!G6</f>
        <v>332885.8134</v>
      </c>
      <c r="H25" s="18">
        <f>G25/'Income Statement'!G6*'Income Statement'!H6</f>
        <v>366236.9299</v>
      </c>
      <c r="I25" s="18">
        <f>H25/'Income Statement'!H6*'Income Statement'!I6</f>
        <v>402298.9972</v>
      </c>
      <c r="J25" s="18">
        <f>I25/'Income Statement'!I6*'Income Statement'!J6</f>
        <v>441218.0046</v>
      </c>
      <c r="K25" s="18">
        <f>J25/'Income Statement'!J6*'Income Statement'!K6</f>
        <v>480789.5172</v>
      </c>
    </row>
    <row r="26">
      <c r="A26" s="8" t="s">
        <v>140</v>
      </c>
      <c r="B26" s="27">
        <f t="shared" ref="B26:K26" si="10">SUM(B21:B25)</f>
        <v>873682</v>
      </c>
      <c r="C26" s="27">
        <f t="shared" si="10"/>
        <v>921880</v>
      </c>
      <c r="D26" s="27">
        <f t="shared" si="10"/>
        <v>1030625</v>
      </c>
      <c r="E26" s="27">
        <f t="shared" si="10"/>
        <v>1168768</v>
      </c>
      <c r="F26" s="27">
        <f t="shared" si="10"/>
        <v>1188142</v>
      </c>
      <c r="G26" s="28">
        <f t="shared" si="10"/>
        <v>1316829.945</v>
      </c>
      <c r="H26" s="28">
        <f t="shared" si="10"/>
        <v>1448760.316</v>
      </c>
      <c r="I26" s="28">
        <f t="shared" si="10"/>
        <v>1591414.669</v>
      </c>
      <c r="J26" s="28">
        <f t="shared" si="10"/>
        <v>1745370.506</v>
      </c>
      <c r="K26" s="28">
        <f t="shared" si="10"/>
        <v>1901907.525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 t="s">
        <v>141</v>
      </c>
      <c r="B27" s="19">
        <v>3301601.0</v>
      </c>
      <c r="C27" s="19">
        <v>3495162.0</v>
      </c>
      <c r="D27" s="19">
        <v>3803551.0</v>
      </c>
      <c r="E27" s="19">
        <v>4262782.0</v>
      </c>
      <c r="F27" s="19">
        <v>4773434.0</v>
      </c>
      <c r="G27" s="18">
        <f>F27/'Income Statement'!F6*'Income Statement'!G6</f>
        <v>5255005.158</v>
      </c>
      <c r="H27" s="18">
        <f>G27/'Income Statement'!G6*'Income Statement'!H6</f>
        <v>5781492.868</v>
      </c>
      <c r="I27" s="18">
        <f>H27/'Income Statement'!H6*'Income Statement'!I6</f>
        <v>6350776.214</v>
      </c>
      <c r="J27" s="18">
        <f>I27/'Income Statement'!I6*'Income Statement'!J6</f>
        <v>6965159.814</v>
      </c>
      <c r="K27" s="18">
        <f>J27/'Income Statement'!J6*'Income Statement'!K6</f>
        <v>7589843.999</v>
      </c>
    </row>
    <row r="28">
      <c r="A28" s="11" t="s">
        <v>142</v>
      </c>
      <c r="B28" s="19">
        <v>141765.0</v>
      </c>
      <c r="C28" s="19">
        <v>98623.0</v>
      </c>
      <c r="D28" s="19">
        <v>89109.0</v>
      </c>
      <c r="E28" s="19">
        <v>46208.0</v>
      </c>
      <c r="F28" s="19">
        <v>125674.0</v>
      </c>
      <c r="G28" s="18">
        <f t="shared" ref="G28:K28" si="11">F28</f>
        <v>125674</v>
      </c>
      <c r="H28" s="18">
        <f t="shared" si="11"/>
        <v>125674</v>
      </c>
      <c r="I28" s="18">
        <f t="shared" si="11"/>
        <v>125674</v>
      </c>
      <c r="J28" s="18">
        <f t="shared" si="11"/>
        <v>125674</v>
      </c>
      <c r="K28" s="18">
        <f t="shared" si="11"/>
        <v>125674</v>
      </c>
    </row>
    <row r="29">
      <c r="A29" s="11" t="s">
        <v>143</v>
      </c>
      <c r="B29" s="19">
        <v>38536.0</v>
      </c>
      <c r="C29" s="19">
        <v>43816.0</v>
      </c>
      <c r="D29" s="19">
        <v>58870.0</v>
      </c>
      <c r="E29" s="19">
        <v>71070.0</v>
      </c>
      <c r="F29" s="19">
        <v>76674.0</v>
      </c>
      <c r="G29" s="18">
        <f t="shared" ref="G29:K29" si="12">F29</f>
        <v>76674</v>
      </c>
      <c r="H29" s="18">
        <f t="shared" si="12"/>
        <v>76674</v>
      </c>
      <c r="I29" s="18">
        <f t="shared" si="12"/>
        <v>76674</v>
      </c>
      <c r="J29" s="18">
        <f t="shared" si="12"/>
        <v>76674</v>
      </c>
      <c r="K29" s="18">
        <f t="shared" si="12"/>
        <v>76674</v>
      </c>
    </row>
    <row r="30">
      <c r="A30" s="8" t="s">
        <v>144</v>
      </c>
      <c r="B30" s="27">
        <f t="shared" ref="B30:F30" si="13">SUM(B26:B29)</f>
        <v>4355584</v>
      </c>
      <c r="C30" s="27">
        <f t="shared" si="13"/>
        <v>4559481</v>
      </c>
      <c r="D30" s="27">
        <f t="shared" si="13"/>
        <v>4982155</v>
      </c>
      <c r="E30" s="27">
        <f t="shared" si="13"/>
        <v>5548828</v>
      </c>
      <c r="F30" s="27">
        <f t="shared" si="13"/>
        <v>6163924</v>
      </c>
      <c r="G30" s="28">
        <f t="shared" ref="G30:K30" si="14">G26+SUM(G27:G29)</f>
        <v>6774183.103</v>
      </c>
      <c r="H30" s="28">
        <f t="shared" si="14"/>
        <v>7432601.184</v>
      </c>
      <c r="I30" s="28">
        <f t="shared" si="14"/>
        <v>8144538.882</v>
      </c>
      <c r="J30" s="28">
        <f t="shared" si="14"/>
        <v>8912878.32</v>
      </c>
      <c r="K30" s="28">
        <f t="shared" si="14"/>
        <v>9694099.524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B31" s="13"/>
      <c r="C31" s="13"/>
      <c r="D31" s="13"/>
      <c r="E31" s="13"/>
      <c r="F31" s="13"/>
    </row>
    <row r="32">
      <c r="A32" s="11" t="s">
        <v>145</v>
      </c>
      <c r="B32" s="19">
        <v>18566.0</v>
      </c>
      <c r="C32" s="19">
        <v>18660.0</v>
      </c>
      <c r="D32" s="19">
        <v>18741.0</v>
      </c>
      <c r="E32" s="19">
        <v>13586.0</v>
      </c>
      <c r="F32" s="19">
        <v>13044.0</v>
      </c>
      <c r="G32" s="18">
        <f t="shared" ref="G32:K32" si="15">F32</f>
        <v>13044</v>
      </c>
      <c r="H32" s="18">
        <f t="shared" si="15"/>
        <v>13044</v>
      </c>
      <c r="I32" s="18">
        <f t="shared" si="15"/>
        <v>13044</v>
      </c>
      <c r="J32" s="18">
        <f t="shared" si="15"/>
        <v>13044</v>
      </c>
      <c r="K32" s="18">
        <f t="shared" si="15"/>
        <v>13044</v>
      </c>
    </row>
    <row r="33">
      <c r="A33" s="11" t="s">
        <v>146</v>
      </c>
      <c r="B33" s="19">
        <v>1711117.0</v>
      </c>
      <c r="C33" s="19">
        <v>1811017.0</v>
      </c>
      <c r="D33" s="19">
        <v>1937794.0</v>
      </c>
      <c r="E33" s="19">
        <v>2078010.0</v>
      </c>
      <c r="F33" s="19">
        <v>2204944.0</v>
      </c>
      <c r="G33" s="18">
        <f>F33+Assumptions!G43+'Cash Flow'!G35+'Cash Flow'!G36</f>
        <v>2309562</v>
      </c>
      <c r="H33" s="18">
        <f>G33+Assumptions!H43+'Cash Flow'!H35+'Cash Flow'!H36</f>
        <v>2459562</v>
      </c>
      <c r="I33" s="18">
        <f>H33+Assumptions!I43+'Cash Flow'!I35+'Cash Flow'!I36</f>
        <v>2609562</v>
      </c>
      <c r="J33" s="18">
        <f>I33+Assumptions!J43+'Cash Flow'!J35+'Cash Flow'!J36</f>
        <v>2759562</v>
      </c>
      <c r="K33" s="18">
        <f>J33+Assumptions!K43+'Cash Flow'!K35+'Cash Flow'!K36</f>
        <v>2909562</v>
      </c>
    </row>
    <row r="34">
      <c r="A34" s="11" t="s">
        <v>147</v>
      </c>
      <c r="B34" s="19">
        <v>-5354.0</v>
      </c>
      <c r="C34" s="19">
        <v>-7888.0</v>
      </c>
      <c r="D34" s="19">
        <v>-6657.0</v>
      </c>
      <c r="E34" s="19">
        <v>-10282.0</v>
      </c>
      <c r="F34" s="19">
        <v>-7289.0</v>
      </c>
      <c r="G34" s="18">
        <f>F34+'Cash Flow'!G39</f>
        <v>-7705</v>
      </c>
      <c r="H34" s="18">
        <f>G34+'Cash Flow'!H39</f>
        <v>-7705</v>
      </c>
      <c r="I34" s="18">
        <f>H34+'Cash Flow'!I39</f>
        <v>-7705</v>
      </c>
      <c r="J34" s="18">
        <f>I34+'Cash Flow'!J39</f>
        <v>-7705</v>
      </c>
      <c r="K34" s="18">
        <f>J34+'Cash Flow'!K39</f>
        <v>-7705</v>
      </c>
    </row>
    <row r="35">
      <c r="A35" s="11" t="s">
        <v>148</v>
      </c>
      <c r="B35" s="19">
        <v>-3356102.0</v>
      </c>
      <c r="C35" s="19">
        <v>-4282014.0</v>
      </c>
      <c r="D35" s="19">
        <v>-4944656.0</v>
      </c>
      <c r="E35" s="19">
        <v>0.0</v>
      </c>
      <c r="F35" s="19">
        <v>0.0</v>
      </c>
      <c r="G35" s="18">
        <f t="shared" ref="G35:K35" si="16">0</f>
        <v>0</v>
      </c>
      <c r="H35" s="18">
        <f t="shared" si="16"/>
        <v>0</v>
      </c>
      <c r="I35" s="18">
        <f t="shared" si="16"/>
        <v>0</v>
      </c>
      <c r="J35" s="18">
        <f t="shared" si="16"/>
        <v>0</v>
      </c>
      <c r="K35" s="18">
        <f t="shared" si="16"/>
        <v>0</v>
      </c>
    </row>
    <row r="36">
      <c r="A36" s="11" t="s">
        <v>149</v>
      </c>
      <c r="B36" s="19">
        <v>3929147.0</v>
      </c>
      <c r="C36" s="19">
        <v>4828248.0</v>
      </c>
      <c r="D36" s="19">
        <v>6056985.0</v>
      </c>
      <c r="E36" s="19">
        <v>1574232.0</v>
      </c>
      <c r="F36" s="19">
        <v>619908.0</v>
      </c>
      <c r="G36" s="18">
        <f>F36+'Income Statement'!G20-Assumptions!G42</f>
        <v>862729.375</v>
      </c>
      <c r="H36" s="18">
        <f>G36+'Income Statement'!H20-Assumptions!H42</f>
        <v>1078799.481</v>
      </c>
      <c r="I36" s="18">
        <f>H36+'Income Statement'!I20-Assumptions!I42</f>
        <v>1282350.108</v>
      </c>
      <c r="J36" s="18">
        <f>I36+'Income Statement'!J20-Assumptions!J42</f>
        <v>1701691.409</v>
      </c>
      <c r="K36" s="18">
        <f>J36+'Income Statement'!K20-Assumptions!K42</f>
        <v>2328130.819</v>
      </c>
    </row>
    <row r="37">
      <c r="A37" s="8" t="s">
        <v>150</v>
      </c>
      <c r="B37" s="27">
        <f t="shared" ref="B37:F37" si="17">sum(B32:B36)</f>
        <v>2297374</v>
      </c>
      <c r="C37" s="27">
        <f t="shared" si="17"/>
        <v>2368023</v>
      </c>
      <c r="D37" s="27">
        <f t="shared" si="17"/>
        <v>3062207</v>
      </c>
      <c r="E37" s="27">
        <f t="shared" si="17"/>
        <v>3655546</v>
      </c>
      <c r="F37" s="27">
        <f t="shared" si="17"/>
        <v>2830607</v>
      </c>
      <c r="G37" s="28">
        <f t="shared" ref="G37:K37" si="18">SUM(G32:G36)</f>
        <v>3177630.375</v>
      </c>
      <c r="H37" s="28">
        <f t="shared" si="18"/>
        <v>3543700.481</v>
      </c>
      <c r="I37" s="28">
        <f t="shared" si="18"/>
        <v>3897251.108</v>
      </c>
      <c r="J37" s="28">
        <f t="shared" si="18"/>
        <v>4466592.409</v>
      </c>
      <c r="K37" s="28">
        <f t="shared" si="18"/>
        <v>5243031.819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B38" s="13"/>
      <c r="C38" s="13"/>
      <c r="D38" s="13"/>
      <c r="E38" s="13"/>
      <c r="F38" s="13"/>
    </row>
    <row r="39">
      <c r="A39" s="8" t="s">
        <v>151</v>
      </c>
      <c r="B39" s="27">
        <f t="shared" ref="B39:K39" si="19">B30+B37</f>
        <v>6652958</v>
      </c>
      <c r="C39" s="27">
        <f t="shared" si="19"/>
        <v>6927504</v>
      </c>
      <c r="D39" s="27">
        <f t="shared" si="19"/>
        <v>8044362</v>
      </c>
      <c r="E39" s="27">
        <f t="shared" si="19"/>
        <v>9204374</v>
      </c>
      <c r="F39" s="27">
        <f t="shared" si="19"/>
        <v>8994531</v>
      </c>
      <c r="G39" s="28">
        <f t="shared" si="19"/>
        <v>9951813.478</v>
      </c>
      <c r="H39" s="28">
        <f t="shared" si="19"/>
        <v>10976301.67</v>
      </c>
      <c r="I39" s="28">
        <f t="shared" si="19"/>
        <v>12041789.99</v>
      </c>
      <c r="J39" s="28">
        <f t="shared" si="19"/>
        <v>13379470.73</v>
      </c>
      <c r="K39" s="28">
        <f t="shared" si="19"/>
        <v>14937131.34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B40" s="13"/>
      <c r="C40" s="13"/>
      <c r="D40" s="13"/>
      <c r="E40" s="13"/>
      <c r="F40" s="13"/>
    </row>
    <row r="41">
      <c r="A41" s="8" t="s">
        <v>152</v>
      </c>
      <c r="B41" s="27">
        <f t="shared" ref="B41:K41" si="20">B19-B39</f>
        <v>0</v>
      </c>
      <c r="C41" s="27">
        <f t="shared" si="20"/>
        <v>0</v>
      </c>
      <c r="D41" s="27">
        <f t="shared" si="20"/>
        <v>0</v>
      </c>
      <c r="E41" s="27">
        <f t="shared" si="20"/>
        <v>0</v>
      </c>
      <c r="F41" s="27">
        <f t="shared" si="20"/>
        <v>0</v>
      </c>
      <c r="G41" s="28">
        <f t="shared" si="20"/>
        <v>0.000000001862645149</v>
      </c>
      <c r="H41" s="28">
        <f t="shared" si="20"/>
        <v>0.000000001862645149</v>
      </c>
      <c r="I41" s="28">
        <f t="shared" si="20"/>
        <v>0.000000003725290298</v>
      </c>
      <c r="J41" s="28">
        <f t="shared" si="20"/>
        <v>0</v>
      </c>
      <c r="K41" s="28">
        <f t="shared" si="20"/>
        <v>0.000000001862645149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14.13"/>
    <col customWidth="1" min="3" max="3" width="14.5"/>
    <col customWidth="1" min="4" max="4" width="15.25"/>
    <col customWidth="1" min="5" max="5" width="14.5"/>
    <col customWidth="1" min="6" max="6" width="14.25"/>
  </cols>
  <sheetData>
    <row r="1">
      <c r="A1" s="8" t="s">
        <v>153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0" t="s">
        <v>103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4">
      <c r="A4" s="8" t="s">
        <v>104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6">
      <c r="A6" s="11" t="s">
        <v>154</v>
      </c>
      <c r="B6" s="13">
        <f>'Income Statement'!B20</f>
        <v>652984</v>
      </c>
      <c r="C6" s="13">
        <f>'Income Statement'!C20</f>
        <v>899101</v>
      </c>
      <c r="D6" s="13">
        <f>'Income Statement'!D20</f>
        <v>1228737</v>
      </c>
      <c r="E6" s="13">
        <f>'Income Statement'!E20</f>
        <v>1534110</v>
      </c>
      <c r="F6" s="13">
        <f>'Income Statement'!F20</f>
        <v>1535761</v>
      </c>
      <c r="G6" s="18">
        <f>'Income Statement'!G20</f>
        <v>1742821.375</v>
      </c>
      <c r="H6" s="18">
        <f>'Income Statement'!H20</f>
        <v>1916070.106</v>
      </c>
      <c r="I6" s="18">
        <f>'Income Statement'!I20</f>
        <v>2103550.627</v>
      </c>
      <c r="J6" s="18">
        <f>'Income Statement'!J20</f>
        <v>2319341.3</v>
      </c>
      <c r="K6" s="18">
        <f>'Income Statement'!K20</f>
        <v>2526439.41</v>
      </c>
    </row>
    <row r="7">
      <c r="A7" s="11" t="s">
        <v>111</v>
      </c>
      <c r="B7" s="19">
        <v>254657.0</v>
      </c>
      <c r="C7" s="19">
        <v>286826.0</v>
      </c>
      <c r="D7" s="19">
        <v>319394.0</v>
      </c>
      <c r="E7" s="19">
        <v>335030.0</v>
      </c>
      <c r="F7" s="19">
        <v>361382.0</v>
      </c>
      <c r="G7" s="18">
        <f>'Income Statement'!G12</f>
        <v>393861.7027</v>
      </c>
      <c r="H7" s="18">
        <f>'Income Statement'!H12</f>
        <v>433321.863</v>
      </c>
      <c r="I7" s="18">
        <f>'Income Statement'!I12</f>
        <v>475989.5486</v>
      </c>
      <c r="J7" s="18">
        <f>'Income Statement'!J12</f>
        <v>522037.4902</v>
      </c>
      <c r="K7" s="18">
        <f>'Income Statement'!K12</f>
        <v>568857.4589</v>
      </c>
    </row>
    <row r="8">
      <c r="A8" s="11" t="s">
        <v>155</v>
      </c>
      <c r="B8" s="19">
        <v>-12357.0</v>
      </c>
      <c r="C8" s="19">
        <v>-43195.0</v>
      </c>
      <c r="D8" s="19">
        <v>-9505.0</v>
      </c>
      <c r="E8" s="19">
        <v>-42937.0</v>
      </c>
      <c r="F8" s="19">
        <v>79483.0</v>
      </c>
      <c r="G8" s="29">
        <v>0.0</v>
      </c>
      <c r="H8" s="18">
        <f t="shared" ref="H8:K8" si="1">G8</f>
        <v>0</v>
      </c>
      <c r="I8" s="18">
        <f t="shared" si="1"/>
        <v>0</v>
      </c>
      <c r="J8" s="18">
        <f t="shared" si="1"/>
        <v>0</v>
      </c>
      <c r="K8" s="18">
        <f t="shared" si="1"/>
        <v>0</v>
      </c>
    </row>
    <row r="9">
      <c r="A9" s="11" t="s">
        <v>156</v>
      </c>
      <c r="B9" s="19">
        <v>17086.0</v>
      </c>
      <c r="C9" s="19">
        <v>20738.0</v>
      </c>
      <c r="D9" s="19">
        <v>37025.0</v>
      </c>
      <c r="E9" s="19">
        <v>24582.0</v>
      </c>
      <c r="F9" s="19">
        <v>26576.0</v>
      </c>
      <c r="G9" s="18">
        <f>'Income Statement'!G14</f>
        <v>30000</v>
      </c>
      <c r="H9" s="18">
        <f>'Income Statement'!H14</f>
        <v>30000</v>
      </c>
      <c r="I9" s="18">
        <f>'Income Statement'!I14</f>
        <v>30000</v>
      </c>
      <c r="J9" s="18">
        <f>'Income Statement'!J14</f>
        <v>30000</v>
      </c>
      <c r="K9" s="18">
        <f>'Income Statement'!K14</f>
        <v>30000</v>
      </c>
    </row>
    <row r="10">
      <c r="A10" s="11" t="s">
        <v>157</v>
      </c>
      <c r="B10" s="19">
        <v>493.0</v>
      </c>
      <c r="C10" s="19">
        <v>-760.0</v>
      </c>
      <c r="D10" s="19">
        <v>1570.0</v>
      </c>
      <c r="E10" s="19">
        <v>215.0</v>
      </c>
      <c r="F10" s="19">
        <v>-657.0</v>
      </c>
      <c r="G10" s="29">
        <v>0.0</v>
      </c>
      <c r="H10" s="18">
        <f t="shared" ref="H10:K10" si="2">G10</f>
        <v>0</v>
      </c>
      <c r="I10" s="18">
        <f t="shared" si="2"/>
        <v>0</v>
      </c>
      <c r="J10" s="18">
        <f t="shared" si="2"/>
        <v>0</v>
      </c>
      <c r="K10" s="18">
        <f t="shared" si="2"/>
        <v>0</v>
      </c>
    </row>
    <row r="11">
      <c r="A11" s="11" t="s">
        <v>158</v>
      </c>
      <c r="B11" s="19">
        <v>176392.0</v>
      </c>
      <c r="C11" s="19">
        <v>98030.0</v>
      </c>
      <c r="D11" s="19">
        <v>124016.0</v>
      </c>
      <c r="E11" s="19">
        <v>131730.0</v>
      </c>
      <c r="F11" s="19">
        <v>119543.0</v>
      </c>
      <c r="G11" s="18">
        <f>Assumptions!G43</f>
        <v>150000</v>
      </c>
      <c r="H11" s="18">
        <f>Assumptions!H43</f>
        <v>150000</v>
      </c>
      <c r="I11" s="18">
        <f>Assumptions!I43</f>
        <v>150000</v>
      </c>
      <c r="J11" s="18">
        <f>Assumptions!J43</f>
        <v>150000</v>
      </c>
      <c r="K11" s="18">
        <f>Assumptions!K43</f>
        <v>150000</v>
      </c>
    </row>
    <row r="12">
      <c r="A12" s="11" t="s">
        <v>67</v>
      </c>
      <c r="B12" s="19">
        <v>-4599.0</v>
      </c>
      <c r="C12" s="19">
        <v>-16202.0</v>
      </c>
      <c r="D12" s="19">
        <v>-13080.0</v>
      </c>
      <c r="E12" s="19">
        <v>-3472.0</v>
      </c>
      <c r="F12" s="19">
        <v>-14661.0</v>
      </c>
      <c r="G12" s="29">
        <v>0.0</v>
      </c>
      <c r="H12" s="18">
        <f t="shared" ref="H12:K12" si="3">G12</f>
        <v>0</v>
      </c>
      <c r="I12" s="18">
        <f t="shared" si="3"/>
        <v>0</v>
      </c>
      <c r="J12" s="18">
        <f t="shared" si="3"/>
        <v>0</v>
      </c>
      <c r="K12" s="18">
        <f t="shared" si="3"/>
        <v>0</v>
      </c>
    </row>
    <row r="13">
      <c r="A13" s="11"/>
      <c r="B13" s="19"/>
      <c r="C13" s="19"/>
      <c r="D13" s="19"/>
      <c r="E13" s="19"/>
      <c r="F13" s="19"/>
      <c r="G13" s="31"/>
      <c r="H13" s="31"/>
      <c r="I13" s="31"/>
      <c r="J13" s="31"/>
      <c r="K13" s="31"/>
    </row>
    <row r="14">
      <c r="A14" s="11" t="s">
        <v>159</v>
      </c>
      <c r="B14" s="19">
        <v>-1687.0</v>
      </c>
      <c r="C14" s="19">
        <v>-14026.0</v>
      </c>
      <c r="D14" s="19">
        <v>-11216.0</v>
      </c>
      <c r="E14" s="19">
        <v>-29274.0</v>
      </c>
      <c r="F14" s="19">
        <v>-11383.0</v>
      </c>
      <c r="G14" s="18">
        <f>-('Balance Sheet'!G8-'Balance Sheet'!F8)</f>
        <v>-23379.52636</v>
      </c>
      <c r="H14" s="18">
        <f>-('Balance Sheet'!H8-'Balance Sheet'!G8)</f>
        <v>-18018.33803</v>
      </c>
      <c r="I14" s="18">
        <f>-('Balance Sheet'!I8-'Balance Sheet'!H8)</f>
        <v>-19482.96147</v>
      </c>
      <c r="J14" s="18">
        <f>-('Balance Sheet'!J8-'Balance Sheet'!I8)</f>
        <v>-21026.45737</v>
      </c>
      <c r="K14" s="18">
        <f>-('Balance Sheet'!K8-'Balance Sheet'!J8)</f>
        <v>-21378.98112</v>
      </c>
    </row>
    <row r="15">
      <c r="A15" s="11" t="s">
        <v>160</v>
      </c>
      <c r="B15" s="19">
        <v>-6392.0</v>
      </c>
      <c r="C15" s="19">
        <v>-3011.0</v>
      </c>
      <c r="D15" s="19">
        <v>-3649.0</v>
      </c>
      <c r="E15" s="19">
        <v>-9797.0</v>
      </c>
      <c r="F15" s="19">
        <v>-710.0</v>
      </c>
      <c r="G15" s="18">
        <f>-('Balance Sheet'!G9-'Balance Sheet'!F9)</f>
        <v>-3546.430276</v>
      </c>
      <c r="H15" s="18">
        <f>-('Balance Sheet'!H9-'Balance Sheet'!G9)</f>
        <v>-5315.409717</v>
      </c>
      <c r="I15" s="18">
        <f>-('Balance Sheet'!I9-'Balance Sheet'!H9)</f>
        <v>-5747.473632</v>
      </c>
      <c r="J15" s="18">
        <f>-('Balance Sheet'!J9-'Balance Sheet'!I9)</f>
        <v>-6202.804923</v>
      </c>
      <c r="K15" s="18">
        <f>-('Balance Sheet'!K9-'Balance Sheet'!J9)</f>
        <v>-6306.79943</v>
      </c>
    </row>
    <row r="16">
      <c r="A16" s="11" t="s">
        <v>161</v>
      </c>
      <c r="B16" s="19">
        <v>-26826.0</v>
      </c>
      <c r="C16" s="19">
        <v>-14660.0</v>
      </c>
      <c r="D16" s="19">
        <v>-39211.0</v>
      </c>
      <c r="E16" s="19">
        <v>9244.0</v>
      </c>
      <c r="F16" s="19">
        <v>-33042.0</v>
      </c>
      <c r="G16" s="18">
        <f>-('Balance Sheet'!G11-'Balance Sheet'!F11)</f>
        <v>-142124.4685</v>
      </c>
      <c r="H16" s="18">
        <f>-('Balance Sheet'!H11-'Balance Sheet'!G11)</f>
        <v>-26306.77352</v>
      </c>
      <c r="I16" s="18">
        <f>-('Balance Sheet'!I11-'Balance Sheet'!H11)</f>
        <v>-28445.12374</v>
      </c>
      <c r="J16" s="18">
        <f>-('Balance Sheet'!J11-'Balance Sheet'!I11)</f>
        <v>-30698.62776</v>
      </c>
      <c r="K16" s="18">
        <f>-('Balance Sheet'!K11-'Balance Sheet'!J11)</f>
        <v>-31213.31243</v>
      </c>
    </row>
    <row r="17">
      <c r="A17" s="11" t="s">
        <v>162</v>
      </c>
      <c r="B17" s="19">
        <v>223837.0</v>
      </c>
      <c r="C17" s="19">
        <v>234273.0</v>
      </c>
      <c r="D17" s="19">
        <v>254241.0</v>
      </c>
      <c r="E17" s="19">
        <v>285587.0</v>
      </c>
      <c r="F17" s="19">
        <v>332685.0</v>
      </c>
      <c r="G17" s="18">
        <f>-('Balance Sheet'!G16-'Balance Sheet'!F16)</f>
        <v>-512076.9716</v>
      </c>
      <c r="H17" s="18">
        <f>-('Balance Sheet'!H16-'Balance Sheet'!G16)</f>
        <v>-559838.8262</v>
      </c>
      <c r="I17" s="18">
        <f>-('Balance Sheet'!I16-'Balance Sheet'!H16)</f>
        <v>-605345.4133</v>
      </c>
      <c r="J17" s="18">
        <f>-('Balance Sheet'!J16-'Balance Sheet'!I16)</f>
        <v>-653302.6073</v>
      </c>
      <c r="K17" s="18">
        <f>-('Balance Sheet'!K16-'Balance Sheet'!J16)</f>
        <v>-664255.6976</v>
      </c>
    </row>
    <row r="18">
      <c r="A18" s="11" t="s">
        <v>163</v>
      </c>
      <c r="B18" s="19">
        <v>3993.0</v>
      </c>
      <c r="C18" s="19">
        <v>-346.0</v>
      </c>
      <c r="D18" s="19">
        <v>4204.0</v>
      </c>
      <c r="E18" s="19">
        <v>-17690.0</v>
      </c>
      <c r="F18" s="19">
        <v>-5155.0</v>
      </c>
      <c r="G18" s="18">
        <f>-('Balance Sheet'!G17-'Balance Sheet'!F17)</f>
        <v>0</v>
      </c>
      <c r="H18" s="18">
        <f>-('Balance Sheet'!H17-'Balance Sheet'!G17)</f>
        <v>0</v>
      </c>
      <c r="I18" s="18">
        <f>-('Balance Sheet'!I17-'Balance Sheet'!H17)</f>
        <v>0</v>
      </c>
      <c r="J18" s="18">
        <f>-('Balance Sheet'!J17-'Balance Sheet'!I17)</f>
        <v>0</v>
      </c>
      <c r="K18" s="18">
        <f>-('Balance Sheet'!K17-'Balance Sheet'!J17)</f>
        <v>0</v>
      </c>
    </row>
    <row r="19">
      <c r="A19" s="11" t="s">
        <v>164</v>
      </c>
      <c r="B19" s="19">
        <v>21440.0</v>
      </c>
      <c r="C19" s="19">
        <v>18208.0</v>
      </c>
      <c r="D19" s="19">
        <v>5313.0</v>
      </c>
      <c r="E19" s="19">
        <v>8467.0</v>
      </c>
      <c r="F19" s="19">
        <v>-7449.0</v>
      </c>
      <c r="G19" s="18">
        <f>'Balance Sheet'!G21-'Balance Sheet'!F21</f>
        <v>31237.37927</v>
      </c>
      <c r="H19" s="18">
        <f>'Balance Sheet'!H21-'Balance Sheet'!G21</f>
        <v>24450.8847</v>
      </c>
      <c r="I19" s="18">
        <f>'Balance Sheet'!I21-'Balance Sheet'!H21</f>
        <v>26438.37871</v>
      </c>
      <c r="J19" s="18">
        <f>'Balance Sheet'!J21-'Balance Sheet'!I21</f>
        <v>28532.90265</v>
      </c>
      <c r="K19" s="18">
        <f>'Balance Sheet'!K21-'Balance Sheet'!J21</f>
        <v>29011.27738</v>
      </c>
    </row>
    <row r="20">
      <c r="A20" s="11" t="s">
        <v>165</v>
      </c>
      <c r="B20" s="19">
        <v>-44555.0</v>
      </c>
      <c r="C20" s="19">
        <v>9864.0</v>
      </c>
      <c r="D20" s="19">
        <v>57048.0</v>
      </c>
      <c r="E20" s="19">
        <v>34857.0</v>
      </c>
      <c r="F20" s="19">
        <v>-12113.0</v>
      </c>
      <c r="G20" s="18">
        <f>'Balance Sheet'!G22-'Balance Sheet'!F22</f>
        <v>24287.96433</v>
      </c>
      <c r="H20" s="18">
        <f>'Balance Sheet'!H22-'Balance Sheet'!G22</f>
        <v>27492.94724</v>
      </c>
      <c r="I20" s="18">
        <f>'Balance Sheet'!I22-'Balance Sheet'!H22</f>
        <v>29727.71578</v>
      </c>
      <c r="J20" s="18">
        <f>'Balance Sheet'!J22-'Balance Sheet'!I22</f>
        <v>32082.83041</v>
      </c>
      <c r="K20" s="18">
        <f>'Balance Sheet'!K22-'Balance Sheet'!J22</f>
        <v>32620.72224</v>
      </c>
    </row>
    <row r="21">
      <c r="A21" s="11" t="s">
        <v>166</v>
      </c>
      <c r="B21" s="19">
        <v>10997.0</v>
      </c>
      <c r="C21" s="19">
        <v>-27964.0</v>
      </c>
      <c r="D21" s="19">
        <v>3188.0</v>
      </c>
      <c r="E21" s="19">
        <v>27284.0</v>
      </c>
      <c r="F21" s="19">
        <v>-10499.0</v>
      </c>
      <c r="G21" s="18">
        <f>'Balance Sheet'!G23-'Balance Sheet'!F23</f>
        <v>18406.39143</v>
      </c>
      <c r="H21" s="18">
        <f>'Balance Sheet'!H23-'Balance Sheet'!G23</f>
        <v>20123.17121</v>
      </c>
      <c r="I21" s="18">
        <f>'Balance Sheet'!I23-'Balance Sheet'!H23</f>
        <v>21758.88635</v>
      </c>
      <c r="J21" s="18">
        <f>'Balance Sheet'!J23-'Balance Sheet'!I23</f>
        <v>23482.68753</v>
      </c>
      <c r="K21" s="18">
        <f>'Balance Sheet'!K23-'Balance Sheet'!J23</f>
        <v>23876.39175</v>
      </c>
    </row>
    <row r="22">
      <c r="A22" s="11" t="s">
        <v>167</v>
      </c>
      <c r="B22" s="19">
        <v>34387.0</v>
      </c>
      <c r="C22" s="19">
        <v>33374.0</v>
      </c>
      <c r="D22" s="19">
        <v>35685.0</v>
      </c>
      <c r="E22" s="19">
        <v>46139.0</v>
      </c>
      <c r="F22" s="19">
        <v>40710.0</v>
      </c>
      <c r="G22" s="18">
        <f>'Balance Sheet'!G24-'Balance Sheet'!F24</f>
        <v>24250.3965</v>
      </c>
      <c r="H22" s="18">
        <f>'Balance Sheet'!H24-'Balance Sheet'!G24</f>
        <v>26512.2516</v>
      </c>
      <c r="I22" s="18">
        <f>'Balance Sheet'!I24-'Balance Sheet'!H24</f>
        <v>28667.30414</v>
      </c>
      <c r="J22" s="18">
        <f>'Balance Sheet'!J24-'Balance Sheet'!I24</f>
        <v>30938.40993</v>
      </c>
      <c r="K22" s="18">
        <f>'Balance Sheet'!K24-'Balance Sheet'!J24</f>
        <v>31457.11472</v>
      </c>
    </row>
    <row r="23">
      <c r="A23" s="11" t="s">
        <v>168</v>
      </c>
      <c r="B23" s="19">
        <v>193379.0</v>
      </c>
      <c r="C23" s="19">
        <v>46262.0</v>
      </c>
      <c r="D23" s="19">
        <v>-5237.0</v>
      </c>
      <c r="E23" s="19">
        <v>-14363.0</v>
      </c>
      <c r="F23" s="19">
        <v>-24125.0</v>
      </c>
      <c r="G23" s="18">
        <f t="shared" ref="G23:K23" si="4">0</f>
        <v>0</v>
      </c>
      <c r="H23" s="18">
        <f t="shared" si="4"/>
        <v>0</v>
      </c>
      <c r="I23" s="18">
        <f t="shared" si="4"/>
        <v>0</v>
      </c>
      <c r="J23" s="18">
        <f t="shared" si="4"/>
        <v>0</v>
      </c>
      <c r="K23" s="18">
        <f t="shared" si="4"/>
        <v>0</v>
      </c>
    </row>
    <row r="24">
      <c r="A24" s="11" t="s">
        <v>169</v>
      </c>
      <c r="B24" s="19">
        <v>-207164.0</v>
      </c>
      <c r="C24" s="19">
        <v>-207186.0</v>
      </c>
      <c r="D24" s="19">
        <v>-214477.0</v>
      </c>
      <c r="E24" s="19">
        <v>-217894.0</v>
      </c>
      <c r="F24" s="19">
        <v>-258228.0</v>
      </c>
      <c r="G24" s="18">
        <f>('Balance Sheet'!G25-'Balance Sheet'!F25)+('Balance Sheet'!G27-'Balance Sheet'!F27)</f>
        <v>512076.9716</v>
      </c>
      <c r="H24" s="18">
        <f>('Balance Sheet'!H25-'Balance Sheet'!G25)+('Balance Sheet'!H27-'Balance Sheet'!G27)</f>
        <v>559838.8262</v>
      </c>
      <c r="I24" s="18">
        <f>('Balance Sheet'!I25-'Balance Sheet'!H25)+('Balance Sheet'!I27-'Balance Sheet'!H27)</f>
        <v>605345.4133</v>
      </c>
      <c r="J24" s="18">
        <f>('Balance Sheet'!J25-'Balance Sheet'!I25)+('Balance Sheet'!J27-'Balance Sheet'!I27)</f>
        <v>653302.6073</v>
      </c>
      <c r="K24" s="18">
        <f>('Balance Sheet'!K25-'Balance Sheet'!J25)+('Balance Sheet'!K27-'Balance Sheet'!J27)</f>
        <v>664255.6976</v>
      </c>
    </row>
    <row r="25">
      <c r="A25" s="11" t="s">
        <v>170</v>
      </c>
      <c r="B25" s="19">
        <v>-3984.0</v>
      </c>
      <c r="C25" s="19">
        <v>3853.0</v>
      </c>
      <c r="D25" s="19">
        <v>9431.0</v>
      </c>
      <c r="E25" s="19">
        <v>3258.0</v>
      </c>
      <c r="F25" s="19">
        <v>-4192.0</v>
      </c>
      <c r="G25" s="18">
        <f>'Balance Sheet'!G29-'Balance Sheet'!F29</f>
        <v>0</v>
      </c>
      <c r="H25" s="18">
        <f>'Balance Sheet'!H29-'Balance Sheet'!G29</f>
        <v>0</v>
      </c>
      <c r="I25" s="18">
        <f>'Balance Sheet'!I29-'Balance Sheet'!H29</f>
        <v>0</v>
      </c>
      <c r="J25" s="18">
        <f>'Balance Sheet'!J29-'Balance Sheet'!I29</f>
        <v>0</v>
      </c>
      <c r="K25" s="18">
        <f>'Balance Sheet'!K29-'Balance Sheet'!J29</f>
        <v>0</v>
      </c>
    </row>
    <row r="26">
      <c r="A26" s="8" t="s">
        <v>171</v>
      </c>
      <c r="B26" s="27">
        <f t="shared" ref="B26:F26" si="5">sum(B6:B25)</f>
        <v>1282081</v>
      </c>
      <c r="C26" s="27">
        <f t="shared" si="5"/>
        <v>1323179</v>
      </c>
      <c r="D26" s="27">
        <f t="shared" si="5"/>
        <v>1783477</v>
      </c>
      <c r="E26" s="27">
        <f t="shared" si="5"/>
        <v>2105076</v>
      </c>
      <c r="F26" s="27">
        <f t="shared" si="5"/>
        <v>2113926</v>
      </c>
      <c r="G26" s="28">
        <f t="shared" ref="G26:K26" si="6">SUM(G6:G25)</f>
        <v>2245814.784</v>
      </c>
      <c r="H26" s="28">
        <f t="shared" si="6"/>
        <v>2578330.703</v>
      </c>
      <c r="I26" s="28">
        <f t="shared" si="6"/>
        <v>2812456.902</v>
      </c>
      <c r="J26" s="28">
        <f t="shared" si="6"/>
        <v>3078487.731</v>
      </c>
      <c r="K26" s="28">
        <f t="shared" si="6"/>
        <v>3333363.282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B27" s="13"/>
      <c r="C27" s="13"/>
      <c r="D27" s="13"/>
      <c r="E27" s="13"/>
      <c r="F27" s="13"/>
    </row>
    <row r="28">
      <c r="A28" s="11" t="s">
        <v>172</v>
      </c>
      <c r="B28" s="19">
        <v>-442475.0</v>
      </c>
      <c r="C28" s="19">
        <v>-479164.0</v>
      </c>
      <c r="D28" s="19">
        <v>-560731.0</v>
      </c>
      <c r="E28" s="19">
        <v>-593603.0</v>
      </c>
      <c r="F28" s="19">
        <v>-666336.0</v>
      </c>
      <c r="G28" s="23">
        <f>-Assumptions!G36</f>
        <v>-886574.4685</v>
      </c>
      <c r="H28" s="23">
        <f>-Assumptions!H36</f>
        <v>-942131.242</v>
      </c>
      <c r="I28" s="23">
        <f>-Assumptions!I36</f>
        <v>-999826.3657</v>
      </c>
      <c r="J28" s="23">
        <f>-Assumptions!J36</f>
        <v>-1059774.993</v>
      </c>
      <c r="K28" s="23">
        <f>-Assumptions!K36</f>
        <v>-1120238.306</v>
      </c>
    </row>
    <row r="29">
      <c r="A29" s="11" t="s">
        <v>173</v>
      </c>
      <c r="B29" s="19">
        <v>-429350.0</v>
      </c>
      <c r="C29" s="19">
        <v>-614416.0</v>
      </c>
      <c r="D29" s="19">
        <v>-1115131.0</v>
      </c>
      <c r="E29" s="19">
        <v>-986673.0</v>
      </c>
      <c r="F29" s="19">
        <v>-28222.0</v>
      </c>
      <c r="G29" s="5">
        <v>0.0</v>
      </c>
      <c r="H29" s="32">
        <f t="shared" ref="H29:K29" si="7">G29</f>
        <v>0</v>
      </c>
      <c r="I29" s="32">
        <f t="shared" si="7"/>
        <v>0</v>
      </c>
      <c r="J29" s="32">
        <f t="shared" si="7"/>
        <v>0</v>
      </c>
      <c r="K29" s="32">
        <f t="shared" si="7"/>
        <v>0</v>
      </c>
    </row>
    <row r="30">
      <c r="A30" s="11" t="s">
        <v>174</v>
      </c>
      <c r="B30" s="19">
        <v>345748.0</v>
      </c>
      <c r="C30" s="19">
        <v>263548.0</v>
      </c>
      <c r="D30" s="19">
        <v>729853.0</v>
      </c>
      <c r="E30" s="19">
        <v>722637.0</v>
      </c>
      <c r="F30" s="19">
        <v>659476.0</v>
      </c>
      <c r="G30" s="5">
        <v>0.0</v>
      </c>
      <c r="H30" s="32">
        <f t="shared" ref="H30:K30" si="8">G30</f>
        <v>0</v>
      </c>
      <c r="I30" s="32">
        <f t="shared" si="8"/>
        <v>0</v>
      </c>
      <c r="J30" s="32">
        <f t="shared" si="8"/>
        <v>0</v>
      </c>
      <c r="K30" s="32">
        <f t="shared" si="8"/>
        <v>0</v>
      </c>
    </row>
    <row r="31">
      <c r="A31" s="11" t="s">
        <v>175</v>
      </c>
      <c r="B31" s="19">
        <v>4035.0</v>
      </c>
      <c r="C31" s="19">
        <v>0.0</v>
      </c>
      <c r="D31" s="19">
        <v>0.0</v>
      </c>
      <c r="E31" s="19">
        <v>20113.0</v>
      </c>
      <c r="F31" s="19">
        <v>0.0</v>
      </c>
      <c r="G31" s="18">
        <f t="shared" ref="G31:K31" si="9">F31</f>
        <v>0</v>
      </c>
      <c r="H31" s="18">
        <f t="shared" si="9"/>
        <v>0</v>
      </c>
      <c r="I31" s="18">
        <f t="shared" si="9"/>
        <v>0</v>
      </c>
      <c r="J31" s="18">
        <f t="shared" si="9"/>
        <v>0</v>
      </c>
      <c r="K31" s="18">
        <f t="shared" si="9"/>
        <v>0</v>
      </c>
    </row>
    <row r="32">
      <c r="A32" s="8" t="s">
        <v>176</v>
      </c>
      <c r="B32" s="27">
        <f t="shared" ref="B32:F32" si="10">sum(B28:B31)</f>
        <v>-522042</v>
      </c>
      <c r="C32" s="27">
        <f t="shared" si="10"/>
        <v>-830032</v>
      </c>
      <c r="D32" s="27">
        <f t="shared" si="10"/>
        <v>-946009</v>
      </c>
      <c r="E32" s="27">
        <f t="shared" si="10"/>
        <v>-837526</v>
      </c>
      <c r="F32" s="27">
        <f t="shared" si="10"/>
        <v>-35082</v>
      </c>
      <c r="G32" s="33">
        <f t="shared" ref="G32:K32" si="11">SUM(G28:G31)</f>
        <v>-886574.4685</v>
      </c>
      <c r="H32" s="33">
        <f t="shared" si="11"/>
        <v>-942131.242</v>
      </c>
      <c r="I32" s="33">
        <f t="shared" si="11"/>
        <v>-999826.3657</v>
      </c>
      <c r="J32" s="33">
        <f t="shared" si="11"/>
        <v>-1059774.993</v>
      </c>
      <c r="K32" s="33">
        <f t="shared" si="11"/>
        <v>-1120238.306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B33" s="13"/>
      <c r="C33" s="13"/>
      <c r="D33" s="13"/>
      <c r="E33" s="13"/>
      <c r="F33" s="13"/>
    </row>
    <row r="34">
      <c r="A34" s="11" t="s">
        <v>177</v>
      </c>
      <c r="B34" s="19">
        <v>-466462.0</v>
      </c>
      <c r="C34" s="19">
        <v>-830140.0</v>
      </c>
      <c r="D34" s="19">
        <v>-592349.0</v>
      </c>
      <c r="E34" s="19">
        <v>-1001559.0</v>
      </c>
      <c r="F34" s="19">
        <v>-2425516.0</v>
      </c>
      <c r="G34" s="18">
        <f>-Assumptions!G42</f>
        <v>-1500000</v>
      </c>
      <c r="H34" s="18">
        <f>-Assumptions!H42</f>
        <v>-1700000</v>
      </c>
      <c r="I34" s="18">
        <f>-Assumptions!I42</f>
        <v>-1900000</v>
      </c>
      <c r="J34" s="18">
        <f>-Assumptions!J42</f>
        <v>-1900000</v>
      </c>
      <c r="K34" s="18">
        <f>-Assumptions!K42</f>
        <v>-1900000</v>
      </c>
    </row>
    <row r="35">
      <c r="A35" s="11" t="s">
        <v>178</v>
      </c>
      <c r="B35" s="19">
        <v>-79870.0</v>
      </c>
      <c r="C35" s="19">
        <v>-98970.0</v>
      </c>
      <c r="D35" s="19">
        <v>-69146.0</v>
      </c>
      <c r="E35" s="19">
        <v>-74229.0</v>
      </c>
      <c r="F35" s="19">
        <v>-49458.0</v>
      </c>
      <c r="G35" s="18">
        <f t="shared" ref="G35:G36" si="13">F35</f>
        <v>-49458</v>
      </c>
      <c r="H35" s="29">
        <v>0.0</v>
      </c>
      <c r="I35" s="18">
        <f t="shared" ref="I35:K35" si="12">H35</f>
        <v>0</v>
      </c>
      <c r="J35" s="18">
        <f t="shared" si="12"/>
        <v>0</v>
      </c>
      <c r="K35" s="18">
        <f t="shared" si="12"/>
        <v>0</v>
      </c>
    </row>
    <row r="36">
      <c r="A36" s="11" t="s">
        <v>179</v>
      </c>
      <c r="B36" s="19">
        <v>-2274.0</v>
      </c>
      <c r="C36" s="19">
        <v>-294.0</v>
      </c>
      <c r="D36" s="19">
        <v>843.0</v>
      </c>
      <c r="E36" s="19">
        <v>2089.0</v>
      </c>
      <c r="F36" s="19">
        <v>4076.0</v>
      </c>
      <c r="G36" s="31">
        <f t="shared" si="13"/>
        <v>4076</v>
      </c>
      <c r="H36" s="34">
        <v>0.0</v>
      </c>
      <c r="I36" s="31">
        <f t="shared" ref="I36:K36" si="14">H36</f>
        <v>0</v>
      </c>
      <c r="J36" s="31">
        <f t="shared" si="14"/>
        <v>0</v>
      </c>
      <c r="K36" s="31">
        <f t="shared" si="14"/>
        <v>0</v>
      </c>
    </row>
    <row r="37">
      <c r="A37" s="8" t="s">
        <v>180</v>
      </c>
      <c r="B37" s="27">
        <f t="shared" ref="B37:F37" si="15">sum(B34:B36)</f>
        <v>-548606</v>
      </c>
      <c r="C37" s="27">
        <f t="shared" si="15"/>
        <v>-929404</v>
      </c>
      <c r="D37" s="27">
        <f t="shared" si="15"/>
        <v>-660652</v>
      </c>
      <c r="E37" s="27">
        <f t="shared" si="15"/>
        <v>-1073699</v>
      </c>
      <c r="F37" s="27">
        <f t="shared" si="15"/>
        <v>-2470898</v>
      </c>
      <c r="G37" s="28">
        <f t="shared" ref="G37:K37" si="16">SUM(G34:G36)</f>
        <v>-1545382</v>
      </c>
      <c r="H37" s="28">
        <f t="shared" si="16"/>
        <v>-1700000</v>
      </c>
      <c r="I37" s="28">
        <f t="shared" si="16"/>
        <v>-1900000</v>
      </c>
      <c r="J37" s="28">
        <f t="shared" si="16"/>
        <v>-1900000</v>
      </c>
      <c r="K37" s="28">
        <f t="shared" si="16"/>
        <v>-1900000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B38" s="13"/>
      <c r="C38" s="13"/>
      <c r="D38" s="13"/>
      <c r="E38" s="13"/>
      <c r="F38" s="13"/>
    </row>
    <row r="39">
      <c r="A39" s="11" t="s">
        <v>181</v>
      </c>
      <c r="B39" s="19">
        <v>-1039.0</v>
      </c>
      <c r="C39" s="19">
        <v>-1007.0</v>
      </c>
      <c r="D39" s="19">
        <v>381.0</v>
      </c>
      <c r="E39" s="19">
        <v>-1635.0</v>
      </c>
      <c r="F39" s="19">
        <v>-416.0</v>
      </c>
      <c r="G39" s="18">
        <f>F39</f>
        <v>-416</v>
      </c>
      <c r="H39" s="29">
        <v>0.0</v>
      </c>
      <c r="I39" s="18">
        <f t="shared" ref="I39:K39" si="17">H39</f>
        <v>0</v>
      </c>
      <c r="J39" s="18">
        <f t="shared" si="17"/>
        <v>0</v>
      </c>
      <c r="K39" s="18">
        <f t="shared" si="17"/>
        <v>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8" t="s">
        <v>182</v>
      </c>
      <c r="B40" s="27">
        <f t="shared" ref="B40:K40" si="18">B26+B32+B37+B39</f>
        <v>210394</v>
      </c>
      <c r="C40" s="27">
        <f t="shared" si="18"/>
        <v>-437264</v>
      </c>
      <c r="D40" s="27">
        <f t="shared" si="18"/>
        <v>177197</v>
      </c>
      <c r="E40" s="27">
        <f t="shared" si="18"/>
        <v>192216</v>
      </c>
      <c r="F40" s="27">
        <f t="shared" si="18"/>
        <v>-392470</v>
      </c>
      <c r="G40" s="28">
        <f t="shared" si="18"/>
        <v>-186557.6843</v>
      </c>
      <c r="H40" s="28">
        <f t="shared" si="18"/>
        <v>-63800.53936</v>
      </c>
      <c r="I40" s="28">
        <f t="shared" si="18"/>
        <v>-87369.46378</v>
      </c>
      <c r="J40" s="28">
        <f t="shared" si="18"/>
        <v>118712.7374</v>
      </c>
      <c r="K40" s="28">
        <f t="shared" si="18"/>
        <v>313124.9764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1" t="s">
        <v>183</v>
      </c>
      <c r="B41" s="19">
        <v>635836.0</v>
      </c>
      <c r="C41" s="19">
        <v>846230.0</v>
      </c>
      <c r="D41" s="19">
        <v>408966.0</v>
      </c>
      <c r="E41" s="19">
        <v>586163.0</v>
      </c>
      <c r="F41" s="19">
        <v>778379.0</v>
      </c>
      <c r="G41" s="18">
        <f t="shared" ref="G41:K41" si="19">F42</f>
        <v>385909</v>
      </c>
      <c r="H41" s="18">
        <f t="shared" si="19"/>
        <v>199351.3157</v>
      </c>
      <c r="I41" s="18">
        <f t="shared" si="19"/>
        <v>135550.7763</v>
      </c>
      <c r="J41" s="18">
        <f t="shared" si="19"/>
        <v>48181.31252</v>
      </c>
      <c r="K41" s="18">
        <f t="shared" si="19"/>
        <v>166894.05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8" t="s">
        <v>184</v>
      </c>
      <c r="B42" s="27">
        <f t="shared" ref="B42:K42" si="20">B40+B41</f>
        <v>846230</v>
      </c>
      <c r="C42" s="27">
        <f t="shared" si="20"/>
        <v>408966</v>
      </c>
      <c r="D42" s="27">
        <f t="shared" si="20"/>
        <v>586163</v>
      </c>
      <c r="E42" s="27">
        <f t="shared" si="20"/>
        <v>778379</v>
      </c>
      <c r="F42" s="27">
        <f t="shared" si="20"/>
        <v>385909</v>
      </c>
      <c r="G42" s="28">
        <f t="shared" si="20"/>
        <v>199351.3157</v>
      </c>
      <c r="H42" s="28">
        <f t="shared" si="20"/>
        <v>135550.7763</v>
      </c>
      <c r="I42" s="28">
        <f t="shared" si="20"/>
        <v>48181.31252</v>
      </c>
      <c r="J42" s="28">
        <f t="shared" si="20"/>
        <v>166894.05</v>
      </c>
      <c r="K42" s="28">
        <f t="shared" si="20"/>
        <v>480019.0264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6">
      <c r="A46" s="8" t="s">
        <v>185</v>
      </c>
      <c r="B46" s="27"/>
      <c r="C46" s="27"/>
      <c r="D46" s="27"/>
      <c r="E46" s="27"/>
      <c r="F46" s="27"/>
    </row>
    <row r="47">
      <c r="A47" s="11" t="s">
        <v>186</v>
      </c>
      <c r="B47" s="19">
        <v>-17831.0</v>
      </c>
      <c r="C47" s="19">
        <v>275796.0</v>
      </c>
      <c r="D47" s="19">
        <v>400229.0</v>
      </c>
      <c r="E47" s="19">
        <v>532862.0</v>
      </c>
      <c r="F47" s="19">
        <v>423481.0</v>
      </c>
    </row>
    <row r="48">
      <c r="A48" s="11" t="s">
        <v>187</v>
      </c>
      <c r="B48" s="19">
        <v>63802.0</v>
      </c>
      <c r="C48" s="19">
        <v>72021.0</v>
      </c>
      <c r="D48" s="19">
        <v>76415.0</v>
      </c>
      <c r="E48" s="19">
        <v>82636.0</v>
      </c>
      <c r="F48" s="19">
        <v>89429.0</v>
      </c>
    </row>
    <row r="49">
      <c r="A49" s="11" t="s">
        <v>188</v>
      </c>
      <c r="B49" s="19">
        <v>7695.0</v>
      </c>
      <c r="C49" s="19">
        <v>4497.0</v>
      </c>
      <c r="D49" s="19">
        <v>5643.0</v>
      </c>
      <c r="E49" s="19">
        <v>7279.0</v>
      </c>
      <c r="F49" s="19">
        <v>22958.0</v>
      </c>
    </row>
    <row r="54">
      <c r="A54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</cols>
  <sheetData>
    <row r="1">
      <c r="A1" s="1" t="s">
        <v>189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>
      <c r="A4" s="8" t="s">
        <v>24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191</v>
      </c>
    </row>
    <row r="6">
      <c r="A6" s="8" t="s">
        <v>192</v>
      </c>
    </row>
    <row r="7">
      <c r="A7" s="11" t="s">
        <v>193</v>
      </c>
      <c r="B7" s="18">
        <f>'Income Statement'!G16</f>
        <v>2203197.876</v>
      </c>
      <c r="C7" s="18">
        <f>'Income Statement'!H16</f>
        <v>2429666.805</v>
      </c>
      <c r="D7" s="18">
        <f>'Income Statement'!I16</f>
        <v>2674739.382</v>
      </c>
      <c r="E7" s="18">
        <f>'Income Statement'!J16</f>
        <v>2956818.693</v>
      </c>
      <c r="F7" s="18">
        <f>'Income Statement'!K16</f>
        <v>3227535.177</v>
      </c>
    </row>
    <row r="8">
      <c r="A8" s="11" t="s">
        <v>66</v>
      </c>
      <c r="B8" s="16">
        <f>Assumptions!G39</f>
        <v>0.235</v>
      </c>
      <c r="C8" s="16">
        <f>Assumptions!H39</f>
        <v>0.235</v>
      </c>
      <c r="D8" s="16">
        <f>Assumptions!I39</f>
        <v>0.235</v>
      </c>
      <c r="E8" s="16">
        <f>Assumptions!J39</f>
        <v>0.235</v>
      </c>
      <c r="F8" s="16">
        <f>Assumptions!K39</f>
        <v>0.235</v>
      </c>
    </row>
    <row r="9">
      <c r="A9" s="11" t="s">
        <v>194</v>
      </c>
      <c r="B9" s="18">
        <f t="shared" ref="B9:F9" si="1">B7*(1-B8)</f>
        <v>1685446.375</v>
      </c>
      <c r="C9" s="18">
        <f t="shared" si="1"/>
        <v>1858695.106</v>
      </c>
      <c r="D9" s="18">
        <f t="shared" si="1"/>
        <v>2046175.627</v>
      </c>
      <c r="E9" s="18">
        <f t="shared" si="1"/>
        <v>2261966.3</v>
      </c>
      <c r="F9" s="18">
        <f t="shared" si="1"/>
        <v>2469064.41</v>
      </c>
    </row>
    <row r="10">
      <c r="A10" s="11" t="s">
        <v>195</v>
      </c>
      <c r="B10" s="18">
        <f>'Income Statement'!G12</f>
        <v>393861.7027</v>
      </c>
      <c r="C10" s="18">
        <f>'Income Statement'!H12</f>
        <v>433321.863</v>
      </c>
      <c r="D10" s="18">
        <f>'Income Statement'!I12</f>
        <v>475989.5486</v>
      </c>
      <c r="E10" s="18">
        <f>'Income Statement'!J12</f>
        <v>522037.4902</v>
      </c>
      <c r="F10" s="18">
        <f>'Income Statement'!K12</f>
        <v>568857.4589</v>
      </c>
    </row>
    <row r="11">
      <c r="A11" s="11" t="s">
        <v>196</v>
      </c>
      <c r="B11" s="23">
        <f>-Assumptions!G36</f>
        <v>-886574.4685</v>
      </c>
      <c r="C11" s="23">
        <f>-Assumptions!H36</f>
        <v>-942131.242</v>
      </c>
      <c r="D11" s="23">
        <f>-Assumptions!I36</f>
        <v>-999826.3657</v>
      </c>
      <c r="E11" s="23">
        <f>-Assumptions!J36</f>
        <v>-1059774.993</v>
      </c>
      <c r="F11" s="23">
        <f>-Assumptions!K36</f>
        <v>-1120238.306</v>
      </c>
    </row>
    <row r="12">
      <c r="A12" s="11" t="s">
        <v>197</v>
      </c>
      <c r="B12" s="18">
        <f>-(('Balance Sheet'!G8+'Balance Sheet'!G9+'Balance Sheet'!G11) - ('Balance Sheet'!G21+'Balance Sheet'!G22+'Balance Sheet'!G23+'Balance Sheet'!G24)) + (('Balance Sheet'!F8+'Balance Sheet'!F9+'Balance Sheet'!F11) - ('Balance Sheet'!F21+'Balance Sheet'!F22+'Balance Sheet'!F23+'Balance Sheet'!F24))</f>
        <v>-70868.29359</v>
      </c>
      <c r="C12" s="18">
        <f>-(('Balance Sheet'!H8+'Balance Sheet'!H9+'Balance Sheet'!H11) - ('Balance Sheet'!H21+'Balance Sheet'!H22+'Balance Sheet'!H23+'Balance Sheet'!H24)) + (('Balance Sheet'!G8+'Balance Sheet'!G9+'Balance Sheet'!G11) - ('Balance Sheet'!G21+'Balance Sheet'!G22+'Balance Sheet'!G23+'Balance Sheet'!G24))</f>
        <v>48938.7335</v>
      </c>
      <c r="D12" s="18">
        <f>-(('Balance Sheet'!I8+'Balance Sheet'!I9+'Balance Sheet'!I11) - ('Balance Sheet'!I21+'Balance Sheet'!I22+'Balance Sheet'!I23+'Balance Sheet'!I24)) + (('Balance Sheet'!H8+'Balance Sheet'!H9+'Balance Sheet'!H11) - ('Balance Sheet'!H21+'Balance Sheet'!H22+'Balance Sheet'!H23+'Balance Sheet'!H24))</f>
        <v>52916.72615</v>
      </c>
      <c r="E12" s="18">
        <f>-(('Balance Sheet'!J8+'Balance Sheet'!J9+'Balance Sheet'!J11) - ('Balance Sheet'!J21+'Balance Sheet'!J22+'Balance Sheet'!J23+'Balance Sheet'!J24)) + (('Balance Sheet'!I8+'Balance Sheet'!I9+'Balance Sheet'!I11) - ('Balance Sheet'!I21+'Balance Sheet'!I22+'Balance Sheet'!I23+'Balance Sheet'!I24))</f>
        <v>57108.94046</v>
      </c>
      <c r="F12" s="18">
        <f>-(('Balance Sheet'!K8+'Balance Sheet'!K9+'Balance Sheet'!K11) - ('Balance Sheet'!K21+'Balance Sheet'!K22+'Balance Sheet'!K23+'Balance Sheet'!K24)) + (('Balance Sheet'!J8+'Balance Sheet'!J9+'Balance Sheet'!J11) - ('Balance Sheet'!J21+'Balance Sheet'!J22+'Balance Sheet'!J23+'Balance Sheet'!J24))</f>
        <v>58066.41311</v>
      </c>
    </row>
    <row r="13">
      <c r="A13" s="8" t="s">
        <v>198</v>
      </c>
      <c r="B13" s="28">
        <f t="shared" ref="B13:F13" si="2">B9+B10+B11+B12</f>
        <v>1121865.316</v>
      </c>
      <c r="C13" s="28">
        <f t="shared" si="2"/>
        <v>1398824.461</v>
      </c>
      <c r="D13" s="28">
        <f t="shared" si="2"/>
        <v>1575255.536</v>
      </c>
      <c r="E13" s="28">
        <f t="shared" si="2"/>
        <v>1781337.737</v>
      </c>
      <c r="F13" s="28">
        <f t="shared" si="2"/>
        <v>1975749.976</v>
      </c>
    </row>
    <row r="16">
      <c r="A16" s="8" t="s">
        <v>199</v>
      </c>
    </row>
    <row r="17">
      <c r="A17" s="11" t="s">
        <v>200</v>
      </c>
      <c r="B17" s="15">
        <v>0.042</v>
      </c>
    </row>
    <row r="18">
      <c r="A18" s="11" t="s">
        <v>201</v>
      </c>
      <c r="B18" s="15">
        <v>0.055</v>
      </c>
    </row>
    <row r="19">
      <c r="A19" s="11" t="s">
        <v>86</v>
      </c>
      <c r="B19" s="11">
        <f>IF(Assumptions!$N$4="Bear",Assumptions!C64,IF(Assumptions!$N$4="Base",Assumptions!D64,Assumptions!E64))</f>
        <v>1.05</v>
      </c>
    </row>
    <row r="20">
      <c r="A20" s="11" t="s">
        <v>202</v>
      </c>
      <c r="B20" s="16">
        <f>B17+B19*B18</f>
        <v>0.09975</v>
      </c>
    </row>
    <row r="21">
      <c r="A21" s="11" t="s">
        <v>203</v>
      </c>
      <c r="B21" s="15">
        <v>0.035</v>
      </c>
    </row>
    <row r="22">
      <c r="A22" s="11" t="s">
        <v>204</v>
      </c>
      <c r="B22" s="24">
        <v>0.95</v>
      </c>
    </row>
    <row r="23">
      <c r="A23" s="11" t="s">
        <v>205</v>
      </c>
      <c r="B23" s="24">
        <v>0.05</v>
      </c>
    </row>
    <row r="24">
      <c r="A24" s="8" t="s">
        <v>206</v>
      </c>
      <c r="B24" s="14">
        <f>B20*B22+B21*B23</f>
        <v>0.0965125</v>
      </c>
    </row>
    <row r="27">
      <c r="A27" s="8" t="s">
        <v>207</v>
      </c>
    </row>
    <row r="28">
      <c r="A28" s="11" t="s">
        <v>208</v>
      </c>
      <c r="B28" s="16">
        <f>IF(Assumptions!$N$4="Bear",Assumptions!C65,IF(Assumptions!$N$4="Base",Assumptions!D65,Assumptions!E65))</f>
        <v>0.025</v>
      </c>
    </row>
    <row r="29">
      <c r="A29" s="11" t="s">
        <v>209</v>
      </c>
      <c r="B29" s="18">
        <f>F13</f>
        <v>1975749.976</v>
      </c>
    </row>
    <row r="30">
      <c r="A30" s="8" t="s">
        <v>210</v>
      </c>
      <c r="B30" s="18">
        <f>B29*(1+B28)/(B24-B28)</f>
        <v>28318737.64</v>
      </c>
    </row>
    <row r="32">
      <c r="A32" s="8" t="s">
        <v>211</v>
      </c>
    </row>
    <row r="33">
      <c r="A33" s="11" t="s">
        <v>212</v>
      </c>
      <c r="B33" s="6">
        <v>0.5</v>
      </c>
      <c r="C33" s="6">
        <v>1.5</v>
      </c>
      <c r="D33" s="6">
        <v>2.5</v>
      </c>
      <c r="E33" s="6">
        <v>3.5</v>
      </c>
      <c r="F33" s="6">
        <v>4.5</v>
      </c>
      <c r="G33" s="6">
        <v>4.5</v>
      </c>
    </row>
    <row r="34">
      <c r="A34" s="11" t="s">
        <v>213</v>
      </c>
      <c r="B34" s="32">
        <f t="shared" ref="B34:G34" si="3">1/(1+$B$24)^B33</f>
        <v>0.9549776477</v>
      </c>
      <c r="C34" s="32">
        <f t="shared" si="3"/>
        <v>0.8709227188</v>
      </c>
      <c r="D34" s="32">
        <f t="shared" si="3"/>
        <v>0.7942661108</v>
      </c>
      <c r="E34" s="32">
        <f t="shared" si="3"/>
        <v>0.7243566405</v>
      </c>
      <c r="F34" s="32">
        <f t="shared" si="3"/>
        <v>0.6606004405</v>
      </c>
      <c r="G34" s="32">
        <f t="shared" si="3"/>
        <v>0.6606004405</v>
      </c>
    </row>
    <row r="35">
      <c r="A35" s="11" t="s">
        <v>214</v>
      </c>
      <c r="B35" s="18">
        <f t="shared" ref="B35:F35" si="4">B13*B34</f>
        <v>1071356.3</v>
      </c>
      <c r="C35" s="18">
        <f t="shared" si="4"/>
        <v>1218268.002</v>
      </c>
      <c r="D35" s="18">
        <f t="shared" si="4"/>
        <v>1251172.088</v>
      </c>
      <c r="E35" s="18">
        <f t="shared" si="4"/>
        <v>1290323.819</v>
      </c>
      <c r="F35" s="18">
        <f t="shared" si="4"/>
        <v>1305181.305</v>
      </c>
      <c r="G35" s="2"/>
    </row>
    <row r="36">
      <c r="A36" s="11" t="s">
        <v>215</v>
      </c>
      <c r="B36" s="32"/>
      <c r="C36" s="32"/>
      <c r="D36" s="32"/>
      <c r="E36" s="32"/>
      <c r="F36" s="32"/>
      <c r="G36" s="18">
        <f>B30*G34</f>
        <v>18707370.56</v>
      </c>
    </row>
    <row r="37">
      <c r="A37" s="8" t="s">
        <v>216</v>
      </c>
      <c r="B37" s="18">
        <f>SUM(B35:F35)+G36</f>
        <v>24843672.08</v>
      </c>
      <c r="C37" s="2"/>
      <c r="D37" s="2"/>
      <c r="E37" s="2"/>
      <c r="F37" s="2"/>
      <c r="G37" s="2"/>
    </row>
    <row r="38">
      <c r="A38" s="11" t="s">
        <v>217</v>
      </c>
      <c r="B38" s="18">
        <f>0-'Balance Sheet'!F6-'Balance Sheet'!F7-'Balance Sheet'!F14</f>
        <v>-1246259</v>
      </c>
      <c r="C38" s="2"/>
      <c r="D38" s="2"/>
      <c r="E38" s="2"/>
      <c r="F38" s="2"/>
      <c r="G38" s="2"/>
    </row>
    <row r="39">
      <c r="A39" s="8" t="s">
        <v>218</v>
      </c>
      <c r="B39" s="18">
        <f>B37-B38</f>
        <v>26089931.08</v>
      </c>
      <c r="C39" s="2"/>
      <c r="D39" s="2"/>
      <c r="E39" s="2"/>
      <c r="F39" s="2"/>
      <c r="G39" s="2"/>
    </row>
    <row r="40">
      <c r="A40" s="11" t="s">
        <v>219</v>
      </c>
      <c r="B40" s="36">
        <f>Assumptions!F44</f>
        <v>1342616</v>
      </c>
      <c r="C40" s="2"/>
      <c r="D40" s="2"/>
      <c r="E40" s="2"/>
      <c r="F40" s="2"/>
      <c r="G40" s="2"/>
    </row>
    <row r="41">
      <c r="A41" s="8" t="s">
        <v>220</v>
      </c>
      <c r="B41" s="18">
        <f>B39/B40</f>
        <v>19.4321616</v>
      </c>
      <c r="C41" s="2"/>
      <c r="D41" s="2"/>
      <c r="E41" s="2"/>
      <c r="F41" s="2"/>
      <c r="G41" s="2"/>
    </row>
    <row r="42">
      <c r="A42" s="11" t="s">
        <v>221</v>
      </c>
      <c r="B42" s="34">
        <v>32.89</v>
      </c>
      <c r="C42" s="2"/>
      <c r="D42" s="2"/>
      <c r="E42" s="2"/>
      <c r="F42" s="2"/>
      <c r="G42" s="2"/>
    </row>
    <row r="43">
      <c r="A43" s="8" t="s">
        <v>222</v>
      </c>
      <c r="B43" s="16">
        <f>B41/B42-1</f>
        <v>-0.4091772089</v>
      </c>
      <c r="C43" s="2"/>
      <c r="D43" s="2"/>
      <c r="E43" s="2"/>
      <c r="F43" s="2"/>
      <c r="G43" s="2"/>
    </row>
    <row r="45">
      <c r="A45" s="30" t="s">
        <v>223</v>
      </c>
    </row>
  </sheetData>
  <drawing r:id="rId1"/>
</worksheet>
</file>